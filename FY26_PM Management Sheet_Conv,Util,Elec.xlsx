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OKwon1\Box\!CSC facilities team\Old backup\000 Facility KPIs\"/>
    </mc:Choice>
  </mc:AlternateContent>
  <xr:revisionPtr revIDLastSave="0" documentId="8_{59D8EFFA-95DC-44EA-88B2-D997BD3B4DF1}" xr6:coauthVersionLast="47" xr6:coauthVersionMax="47" xr10:uidLastSave="{00000000-0000-0000-0000-000000000000}"/>
  <bookViews>
    <workbookView xWindow="-28725" yWindow="2685" windowWidth="28770" windowHeight="15450" xr2:uid="{316E1261-1CFF-4633-94C2-96B56CBA5BA4}"/>
  </bookViews>
  <sheets>
    <sheet name="PM Plan" sheetId="14" r:id="rId1"/>
    <sheet name="Check list_Conveyor_Vanderlande" sheetId="5" r:id="rId2"/>
    <sheet name="Check list_Conveyor_KNAPP_TK01" sheetId="22" r:id="rId3"/>
    <sheet name="Check list_Conveyor_KNAPP_T (2)" sheetId="23" r:id="rId4"/>
    <sheet name="KNAPP Conveyor check list(TK01)" sheetId="21" r:id="rId5"/>
    <sheet name="Sheet2" sheetId="20" r:id="rId6"/>
    <sheet name="Check list_Rack System" sheetId="4" r:id="rId7"/>
    <sheet name="Check list_Shuttle" sheetId="1" r:id="rId8"/>
    <sheet name="Check list_Shuttle_#17~32" sheetId="6" r:id="rId9"/>
    <sheet name="Check list_Shuttle_#33~48" sheetId="7" r:id="rId10"/>
    <sheet name="Check list_Shuttle_#49~64" sheetId="8" r:id="rId11"/>
    <sheet name="Check list_Shuttle_#65~80" sheetId="9" r:id="rId12"/>
    <sheet name="Check list_Shuttle_#81~96" sheetId="10" r:id="rId13"/>
    <sheet name="Check list_Rack System 9~8F" sheetId="18" r:id="rId14"/>
    <sheet name="Check list_Rack System 7F" sheetId="19" r:id="rId15"/>
    <sheet name="Sheet1" sheetId="17" r:id="rId16"/>
  </sheets>
  <externalReferences>
    <externalReference r:id="rId17"/>
    <externalReference r:id="rId18"/>
    <externalReference r:id="rId19"/>
    <externalReference r:id="rId20"/>
  </externalReferences>
  <definedNames>
    <definedName name="_____roy1" hidden="1">#REF!</definedName>
    <definedName name="____roy1" hidden="1">#REF!</definedName>
    <definedName name="___roy1" hidden="1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FDS_HYPERLINK_TOGGLE_STATE__" hidden="1">"ON"</definedName>
    <definedName name="__roy1" hidden="1">#REF!</definedName>
    <definedName name="__xlfn.IFERROR" hidden="1">#NAME?</definedName>
    <definedName name="_10__123Graph_XChart_2A" hidden="1">[1]Cntmrs!$P$19:$S$19</definedName>
    <definedName name="_2" hidden="1">#REF!</definedName>
    <definedName name="_2__123Graph_AChart_1A" hidden="1">[1]Cntmrs!$B$20:$M$20</definedName>
    <definedName name="_4__123Graph_AChart_2A" hidden="1">[1]Cntmrs!$P$20:$S$20</definedName>
    <definedName name="_6__123Graph_BChart_1A" hidden="1">[1]Cntmrs!$B$21:$M$21</definedName>
    <definedName name="_8__123Graph_CChart_1A" hidden="1">[1]Cntmrs!$B$22:$M$22</definedName>
    <definedName name="_9__123Graph_XChart_1A" hidden="1">[1]Cntmrs!$B$19:$M$19</definedName>
    <definedName name="_Dist_Bin" hidden="1">#REF!</definedName>
    <definedName name="_Dist_Values" hidden="1">#REF!</definedName>
    <definedName name="_Fill" hidden="1">#REF!</definedName>
    <definedName name="_xlnm._FilterDatabase" localSheetId="0" hidden="1">'PM Plan'!$C$27:$C$103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'[2]HPS Slit Coil (Centralia)'!#REF!</definedName>
    <definedName name="_roy1" hidden="1">#REF!</definedName>
    <definedName name="_sga" hidden="1">#REF!</definedName>
    <definedName name="_Sort" hidden="1">#REF!</definedName>
    <definedName name="A" hidden="1">#REF!</definedName>
    <definedName name="ABD" hidden="1">'[3]master data file'!#REF!</definedName>
    <definedName name="anscount" hidden="1">2</definedName>
    <definedName name="aprfill" hidden="1">#REF!</definedName>
    <definedName name="AS2DocOpenMode" hidden="1">"AS2DocumentEdit"</definedName>
    <definedName name="BEx001CNWHJ5RULCSFM36ZCGJ1UH" hidden="1">#REF!</definedName>
    <definedName name="BEx003R0LZZV2DEWZ9SH50AYB6QI" hidden="1">#REF!</definedName>
    <definedName name="BEx0041RNVGGN8SKGQTWHTVAGKBV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6L4N3WDFUWI1GNCD89U2A5" hidden="1">#REF!</definedName>
    <definedName name="BEx00JC31DY11L45SEU4B10BIN6W" hidden="1">#REF!</definedName>
    <definedName name="BEx00KZHZBHP3TDV1YMX4B19B95O" hidden="1">#REF!</definedName>
    <definedName name="BEx00NDSYBD2B9O7YIDHPGIU7IOG" hidden="1">#REF!</definedName>
    <definedName name="BEx00U9SHQ0NHO9GPJITAMG5T4E9" hidden="1">#REF!</definedName>
    <definedName name="BEx00U9XWZXERAIKT2HWHL3LBO89" hidden="1">#REF!</definedName>
    <definedName name="BEx01HY6E3GJ66ABU5ABN26V6Q13" hidden="1">#REF!</definedName>
    <definedName name="BEx01PW5YQKEGAR8JDDI5OARYXDF" hidden="1">#REF!</definedName>
    <definedName name="BEx01R8O8WMXGRREEXHNI2APO858" hidden="1">#REF!</definedName>
    <definedName name="BEx01T1EVAEW9BLAP4L6II4G6OC4" hidden="1">#REF!</definedName>
    <definedName name="BEx01X35DZBL50I19K4ZSW4F1ESH" hidden="1">#REF!</definedName>
    <definedName name="BEx01XJ94SHJ1YQ7ORPW0RQGKI2H" hidden="1">#REF!</definedName>
    <definedName name="BEx0250ZBNZ0Q6N5Y0TN1L7T813R" hidden="1">#REF!</definedName>
    <definedName name="BEx02CTIDA0GDVFNXCVJRKRWC1XC" hidden="1">#REF!</definedName>
    <definedName name="BEx02Q08R9G839Q4RFGG9026C7PX" hidden="1">#REF!</definedName>
    <definedName name="BEx02SEL3Z1QWGAHXDPUA9WLTTPS" hidden="1">#REF!</definedName>
    <definedName name="BEx02SPCZAIHZIWW6Q4F7C4WP0WF" hidden="1">#REF!</definedName>
    <definedName name="BEx02WLM94XB9NUUCQBNNN1RLCA7" hidden="1">#REF!</definedName>
    <definedName name="BEx02Y3KJZH5BGDM9QEZ1PVVI114" hidden="1">#REF!</definedName>
    <definedName name="BEx0313GRLLASDTVPW5DHTXHE74M" hidden="1">#REF!</definedName>
    <definedName name="BEx040GNGACOQI5MY5X2NE42ZWDU" hidden="1">#REF!</definedName>
    <definedName name="BEx1ETWK3EFOVIRF6DMOLHET93S7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59AY8195JTUM6P18VXUFJ3E" hidden="1">#REF!</definedName>
    <definedName name="BEx1GACQL91IG43LSU6M1F2TWPZN" hidden="1">#REF!</definedName>
    <definedName name="BEx1GB92OWY6P3B3Z6EYFUUWMITG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M2TBFL6UBVA6E4PKNSPI96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Z70X46CNUNRV1BR3XLA68VO" hidden="1">#REF!</definedName>
    <definedName name="BEx1I38LBZSH2UZJIZXAE5XOUU55" hidden="1">#REF!</definedName>
    <definedName name="BEx1I4QKTILCKZUSOJCVZN7SNHL5" hidden="1">#REF!</definedName>
    <definedName name="BEx1IBMPA9YF2MWW2J22V7NT16I4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J0CSSHDJGBJUHVOEMCF2P4DL" hidden="1">#REF!</definedName>
    <definedName name="BEx1J7E8VCGLPYU82QXVUG5N3ZAI" hidden="1">#REF!</definedName>
    <definedName name="BEx1J7UHRTVVOB9BZBQQGCCV2WND" hidden="1">#REF!</definedName>
    <definedName name="BEx1J9CGUF05X5DJSNMR94FTEYTJ" hidden="1">#REF!</definedName>
    <definedName name="BEx1JGE2YQWH8S25USOY08XVGO0D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L2OG1SDFK2TPXELJ77YP4NI2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L9D19BDSL8N5APQ3SWFLVB5" hidden="1">#REF!</definedName>
    <definedName name="BEx1LRPGDQCOEMW8YT80J1XCDCIV" hidden="1">#REF!</definedName>
    <definedName name="BEx1LRUSJW4JG54X07QWD9R27WV9" hidden="1">#REF!</definedName>
    <definedName name="BEx1LUZZHLR26RMB7K4H9LE2PL26" hidden="1">#REF!</definedName>
    <definedName name="BEx1LWCLZQGX49I68MNW77AZADZV" hidden="1">#REF!</definedName>
    <definedName name="BEx1M1WBK5T0LP1AK2JYV6W87ID6" hidden="1">#REF!</definedName>
    <definedName name="BEx1M3JJGKF1YALMTNWMK99YH9FT" hidden="1">#REF!</definedName>
    <definedName name="BEx1M51HHDYGIT8PON7U8ICL2S95" hidden="1">#REF!</definedName>
    <definedName name="BEx1MEBZTWO6XAWNC9Z6T7VUC26Q" hidden="1">#REF!</definedName>
    <definedName name="BEx1MMQ3H3E9MBH330J6MD3EP8AD" hidden="1">#REF!</definedName>
    <definedName name="BEx1MTRKKVCHOZ0YGID6HZ49LJTO" hidden="1">#REF!</definedName>
    <definedName name="BEx1MU7UE7P0ONB2E8VVKKAJ4RR3" hidden="1">#REF!</definedName>
    <definedName name="BEx1N0IFWPSL686RSLZTZA4KIY2A" hidden="1">#REF!</definedName>
    <definedName name="BEx1N3CUJ3UX61X38ZAJVPEN4KMC" hidden="1">#REF!</definedName>
    <definedName name="BEx1NFXZ6Z6AR5DDGNBWABIIXNPN" hidden="1">#REF!</definedName>
    <definedName name="BEx1NI1IS5GPPWC0KHG82V2OFPWT" hidden="1">#REF!</definedName>
    <definedName name="BEx1NK52F16HDWY574JELMLTUGK1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Z4K1L8UON80Y2A4RASKWGNP" hidden="1">#REF!</definedName>
    <definedName name="BEx1O0XA02OXBEY6AAS94L6P1KSR" hidden="1">#REF!</definedName>
    <definedName name="BEx1O7NY3502TJXSK2T3030JRWKL" hidden="1">#REF!</definedName>
    <definedName name="BEx1OAYOG08USZKFGMATE5X7Q6VV" hidden="1">#REF!</definedName>
    <definedName name="BEx1ODIH71WKJQGB942GTERMM42L" hidden="1">#REF!</definedName>
    <definedName name="BEx1OGCVKWR5SIRJ20N885S7LK5E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CD9DY94T8LMELN30EGJZ19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04Z9ASZ5R8DBFY4K1V55IZ0" hidden="1">#REF!</definedName>
    <definedName name="BEx1P1HHKJA799O3YZXQAX6KFH58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POKA9S85H8GEXUFYSUYGSHMB" hidden="1">#REF!</definedName>
    <definedName name="BEx1PR415U01RF514LC24LSXZ46E" hidden="1">#REF!</definedName>
    <definedName name="BEx1PXUPD5XRUU2SPVGZCRNTWS98" hidden="1">#REF!</definedName>
    <definedName name="BEx1QA54J2A4I7IBQR19BTY28ZMR" hidden="1">#REF!</definedName>
    <definedName name="BEx1QIU02UKQDRQO4JFJQTQPA9M2" hidden="1">#REF!</definedName>
    <definedName name="BEx1QMQAHG3KQUK59DVM68SWKZIZ" hidden="1">#REF!</definedName>
    <definedName name="BEx1QOTTD8A7ZISZKTC3BOOVKWEN" hidden="1">#REF!</definedName>
    <definedName name="BEx1QQMJWU8NDFTIWXPOESFJ1OAM" hidden="1">#REF!</definedName>
    <definedName name="BEx1R02C8KNH9YXA8P430NC2J4P0" hidden="1">#REF!</definedName>
    <definedName name="BEx1R9YFKJCMSEST8OVCAO5E47FO" hidden="1">#REF!</definedName>
    <definedName name="BEx1RBGC06B3T52OIC0EQ1KGVP1I" hidden="1">#REF!</definedName>
    <definedName name="BEx1RI72M4UOAUPN1HEW1NZ3XQ0P" hidden="1">#REF!</definedName>
    <definedName name="BEx1RRC7X4NI1CU4EO5XYE2GVARJ" hidden="1">#REF!</definedName>
    <definedName name="BEx1RZA1NCGT832L7EMR7GMF588W" hidden="1">#REF!</definedName>
    <definedName name="BEx1RZQBRS8X16WNLB83UM02B1WD" hidden="1">#REF!</definedName>
    <definedName name="BEx1S0MOOGSSYT24R5GZFG5GMGFR" hidden="1">#REF!</definedName>
    <definedName name="BEx1S0XGIPUSZQUCSGWSK10GKW7Y" hidden="1">#REF!</definedName>
    <definedName name="BEx1S5VFNKIXHTTCWSV60UC50EZ8" hidden="1">#REF!</definedName>
    <definedName name="BEx1SDD6GMVBUA76DILOW62NRXEN" hidden="1">#REF!</definedName>
    <definedName name="BEx1SGII9S2ZIQPUR1F64NQRW7DE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7SCX7KK0ROG334AKM67Y8WU" hidden="1">#REF!</definedName>
    <definedName name="BEx1TJ0WLS9O7KNSGIPWTYHDYI1D" hidden="1">#REF!</definedName>
    <definedName name="BEx1TNTKITTEKOJ5Q0RUF0799ZGD" hidden="1">#REF!</definedName>
    <definedName name="BEx1U7WFO8OZKB1EBF4H386JW91L" hidden="1">#REF!</definedName>
    <definedName name="BEx1U87938YR9N6HYI24KVBKLOS3" hidden="1">#REF!</definedName>
    <definedName name="BEx1UD56GQAN4PGYZN9HM5BNM0SP" hidden="1">#REF!</definedName>
    <definedName name="BEx1UESH4KDWHYESQU2IE55RS3LI" hidden="1">#REF!</definedName>
    <definedName name="BEx1UFP03KHOMGHPYN1HOP3VPB7M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44A8OR12BNNKGPZDUGO3K66" hidden="1">#REF!</definedName>
    <definedName name="BEx1V67SEV778NVW68J8W5SND1J7" hidden="1">#REF!</definedName>
    <definedName name="BEx1VIY9SQLRESD11CC4PHYT0XSG" hidden="1">#REF!</definedName>
    <definedName name="BEx1VP8UGXY0F6YA38QAU96H7L70" hidden="1">#REF!</definedName>
    <definedName name="BEx1VQQSB5BKTBE7EAFXSN31CNVX" hidden="1">#REF!</definedName>
    <definedName name="BEx1W1OQE6XCXV2XXVSFIF8GD66S" hidden="1">#REF!</definedName>
    <definedName name="BEx1W8FDLOFGE28JXY6J54MICRMP" hidden="1">#REF!</definedName>
    <definedName name="BEx1WC67EH10SC38QWX3WEA5KH3A" hidden="1">#REF!</definedName>
    <definedName name="BEx1WDO53ZG95BCDDJH20QVTZIEM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09CIHOI0L84XXCKC501H1F" hidden="1">#REF!</definedName>
    <definedName name="BEx1WUB1FAS5PHU33TJ60SUHR618" hidden="1">#REF!</definedName>
    <definedName name="BEx1WX04G0INSPPG9NTNR3DYR6PZ" hidden="1">#REF!</definedName>
    <definedName name="BEx1X3LHU9DPG01VWX2IF65TRATF" hidden="1">#REF!</definedName>
    <definedName name="BEx1X3QU07GK7I7KLROCFBELK7NH" hidden="1">#REF!</definedName>
    <definedName name="BEx1XK8AAMO0AH0Z1OUKW30CA7EQ" hidden="1">#REF!</definedName>
    <definedName name="BEx1XL4MZ7C80495GHQRWOBS16PQ" hidden="1">#REF!</definedName>
    <definedName name="BEx1XN86QZPXEC2550TP8XT6SWZX" hidden="1">#REF!</definedName>
    <definedName name="BEx1Y2IGS2K95E1M51PEF9KJZ0KB" hidden="1">#REF!</definedName>
    <definedName name="BEx1YKHSW5HDSZLEI6ETN0XC509V" hidden="1">#REF!</definedName>
    <definedName name="BEx1YKSL4WUHIRPSHRHU6VIDRW2I" hidden="1">#REF!</definedName>
    <definedName name="BEx1YL3DJ7Y4AZ01ERCOGW0FJ26T" hidden="1">#REF!</definedName>
    <definedName name="BEx1YX2YXQJ4FROQB9AOI6FTK24K" hidden="1">#REF!</definedName>
    <definedName name="BEx1Z2RYHSVD1H37817SN93VMURZ" hidden="1">#REF!</definedName>
    <definedName name="BEx39SMEAVF3X0C7JUX5J7US708I" hidden="1">#REF!</definedName>
    <definedName name="BEx3AMAKWI6458B67VKZO56MCNJW" hidden="1">#REF!</definedName>
    <definedName name="BEx3AOOVM42G82TNF53W0EKXLUSI" hidden="1">#REF!</definedName>
    <definedName name="BEx3AYVQ9RI7BSX4JYF8SK12P2W6" hidden="1">#REF!</definedName>
    <definedName name="BEx3AZH9W4SUFCAHNDOQ728R9V4L" hidden="1">#REF!</definedName>
    <definedName name="BEx3BF7NCHZXLT5N4R8US9653FZ9" hidden="1">#REF!</definedName>
    <definedName name="BEx3BG9J1AIYRS8FTSKF65FW7NTR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BYZS9HFU60FA9QB1W6QXJYYU" hidden="1">#REF!</definedName>
    <definedName name="BEx3C2QR0WUD19QSVO8EMIPNQJKH" hidden="1">#REF!</definedName>
    <definedName name="BEx3C5ACPKV4XIAY0LO077TCRNLJ" hidden="1">#REF!</definedName>
    <definedName name="BEx3CBKXPIN2XM7QJNI7O0MB70AR" hidden="1">#REF!</definedName>
    <definedName name="BEx3CGTUY72BVLPLG4JK1PMQCA5U" hidden="1">#REF!</definedName>
    <definedName name="BEx3CKFCCPZZ6ROLAT5C1DZNIC1U" hidden="1">#REF!</definedName>
    <definedName name="BEx3CO0SVO4WLH0DO43DCHYDTH1P" hidden="1">#REF!</definedName>
    <definedName name="BEx3D35KVB55GTY44YX4O9YGEVQI" hidden="1">#REF!</definedName>
    <definedName name="BEx3D9G6QTSPF9UYI4X0XY0VE896" hidden="1">#REF!</definedName>
    <definedName name="BEx3DCQU9PBRXIMLO62KS5RLH447" hidden="1">#REF!</definedName>
    <definedName name="BEx3DLQL4K7VYE6DKGA0IM2E2V87" hidden="1">#REF!</definedName>
    <definedName name="BEx3DOQGBH4U2OGH2L75V9M5928V" hidden="1">#REF!</definedName>
    <definedName name="BEx3DP19NPKSSVMDKDB440OMHYUS" hidden="1">#REF!</definedName>
    <definedName name="BEx3DZ83OBH4I36382MDWOL800Y8" hidden="1">#REF!</definedName>
    <definedName name="BEx3E22INXU2VKWET4AVSBR8WAD6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RJND3IQC7CG28DAMQY8FJJM" hidden="1">#REF!</definedName>
    <definedName name="BEx3EUUAX947Q5N6MY6W0KSNY78Y" hidden="1">#REF!</definedName>
    <definedName name="BEx3FG4DPAPTA9PM2Q6BMWI6BIHV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LLU92JT15OJMX0CTXGNUWA" hidden="1">#REF!</definedName>
    <definedName name="BEx3G2WA0DTYY9D8AGHHOBTPE2B2" hidden="1">#REF!</definedName>
    <definedName name="BEx3G8FY85SUKO01ZJQZYO51EA75" hidden="1">#REF!</definedName>
    <definedName name="BEx3GCXR6IAS0B6WJ03GJVH7CO52" hidden="1">#REF!</definedName>
    <definedName name="BEx3GDZH5KHUU0C7RY1PDVGKTH8E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GQ9V1DONRHIKU8HGIPUP1EGT" hidden="1">#REF!</definedName>
    <definedName name="BEx3GY7TZELV2Z9HCIJ0S6I6IPLI" hidden="1">#REF!</definedName>
    <definedName name="BEx3H5UX2GZFZZT657YR76RHW5I6" hidden="1">#REF!</definedName>
    <definedName name="BEx3HDCMPXGUVY2XZJUBUITAST1R" hidden="1">#REF!</definedName>
    <definedName name="BEx3HE90SUXR9J4528MHGGZLHDQI" hidden="1">#REF!</definedName>
    <definedName name="BEx3HP1EJGPIXNXBQGPVVFJCRIWZ" hidden="1">#REF!</definedName>
    <definedName name="BEx3HVXKKRKGXC05AX9TDYJ1F7JS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F9F7JUG06AOHO5V3M47KY08" hidden="1">#REF!</definedName>
    <definedName name="BEx3IFV03KX2D95E2Y967TBKYUWH" hidden="1">#REF!</definedName>
    <definedName name="BEx3IJRA731654BBE1ZOHVEK0DHI" hidden="1">#REF!</definedName>
    <definedName name="BEx3IMLPLFDY04Z6ON69TCWA33TL" hidden="1">#REF!</definedName>
    <definedName name="BEx3IWN8YPN2XHSCISQB9608ZLOD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2XUDDF0SSPYVBJC3N2BVRNR" hidden="1">#REF!</definedName>
    <definedName name="BEx3J5S83Z0O4UQU3PFGY26CQO18" hidden="1">#REF!</definedName>
    <definedName name="BEx3J68J7EJHVSQJR57A0SREWIOF" hidden="1">#REF!</definedName>
    <definedName name="BEx3JC2TY7JNAAC3L7QHVPQXLGQ8" hidden="1">#REF!</definedName>
    <definedName name="BEx3JWB8EIB42E4QPNP0F6ZKJHSM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JZAXL8KNT6BS2DKSBQW8WFTT" hidden="1">#REF!</definedName>
    <definedName name="BEx3K4EII7GU1CG0BN7UL15M6J8Z" hidden="1">#REF!</definedName>
    <definedName name="BEx3K4ZXQUQ2KYZF74B84SO48XMW" hidden="1">#REF!</definedName>
    <definedName name="BEx3K8QWDDGIV1GFDJS2D0J5BUNB" hidden="1">#REF!</definedName>
    <definedName name="BEx3KEFXUCVNVPH7KSEGAZYX13B5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3BH7P27RVXXSFFVPKHUYR9T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9WT886UPC0M8AH5Y82YAB1H" hidden="1">#REF!</definedName>
    <definedName name="BEx3LLLM3YCQZCZE64238D8WS0CE" hidden="1">#REF!</definedName>
    <definedName name="BEx3LM1PR4Y7KINKMTMKR984GX8Q" hidden="1">#REF!</definedName>
    <definedName name="BEx3LPCEZ1C0XEKNCM3YT09JWCUO" hidden="1">#REF!</definedName>
    <definedName name="BEx3LRQPBEYUQ8NMLL8AOZ2SXLOI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O0SVU1BLMKV7ENYZHCDVFH" hidden="1">#REF!</definedName>
    <definedName name="BEx3MEYV5LQY0BAL7V3CFAFVOM3T" hidden="1">#REF!</definedName>
    <definedName name="BEx3MREOFWJQEYMCMBL7ZE06NBN6" hidden="1">#REF!</definedName>
    <definedName name="BEx3MW1VHR8JIAS5J58XQ0CC4L8U" hidden="1">#REF!</definedName>
    <definedName name="BEx3N7FW0O3BI5FG5H3TN8ESSC61" hidden="1">#REF!</definedName>
    <definedName name="BEx3N7VYL8CCBFTRFOA6W3BWAQJ0" hidden="1">#REF!</definedName>
    <definedName name="BEx3NMQ4BVC94728AUM7CCX7UHTU" hidden="1">#REF!</definedName>
    <definedName name="BEx3NR2I4OUFP3Z2QZEDU2PIFIDI" hidden="1">#REF!</definedName>
    <definedName name="BEx3NSF4E2MCB2KHNW16VN6Q7W6V" hidden="1">#REF!</definedName>
    <definedName name="BEx3O19B8FTTAPVT5DZXQGQXWFR8" hidden="1">#REF!</definedName>
    <definedName name="BEx3O85IKWARA6NCJOLRBRJFMEWW" hidden="1">[4]Table!#REF!</definedName>
    <definedName name="BEx3OJZSCGFRW7SVGBFI0X9DNVMM" hidden="1">#REF!</definedName>
    <definedName name="BEx3OK5349EJ2XRYXV7W13YG9FSL" hidden="1">#REF!</definedName>
    <definedName name="BEx3OSDPC76YELEXOE4HPHR08Z63" hidden="1">#REF!</definedName>
    <definedName name="BEx3OV8BH6PYNZT7C246LOAU9SVX" hidden="1">#REF!</definedName>
    <definedName name="BEx3OXRYJZUEY6E72UJU0PHLMYAR" hidden="1">#REF!</definedName>
    <definedName name="BEx3P54EFPJ9XERKXPZGLNSLQXCN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H99MLZU1LB38QDL3NELDJBG" hidden="1">#REF!</definedName>
    <definedName name="BEx3PKEMDW8KZEP11IL927C5O7I2" hidden="1">#REF!</definedName>
    <definedName name="BEx3PKJZ1Z7L9S6KV8KXVS6B2FX4" hidden="1">#REF!</definedName>
    <definedName name="BEx3PM7DUSEYPY4DQU967ZREZ2ES" hidden="1">#REF!</definedName>
    <definedName name="BEx3PMNG53Z5HY138H99QOMTX8W3" hidden="1">#REF!</definedName>
    <definedName name="BEx3PP1RRSFZ8UC0JC9R91W6LNKW" hidden="1">#REF!</definedName>
    <definedName name="BEx3PPNDD7L6SUISGSI2D375NSCH" hidden="1">#REF!</definedName>
    <definedName name="BEx3PQZZ6L9TOCDKNGIDPO8Y2G54" hidden="1">#REF!</definedName>
    <definedName name="BEx3PVXYZC8WB9ZJE7OCKUXZ46EA" hidden="1">#REF!</definedName>
    <definedName name="BEx3Q0VWPU5EQECK7MQ47TYJ3SWW" hidden="1">#REF!</definedName>
    <definedName name="BEx3Q3QHHJB3PUJIXDIL8G6EHCRE" hidden="1">#REF!</definedName>
    <definedName name="BEx3Q7BZ9PUXK2RLIOFSIS9AHU1B" hidden="1">#REF!</definedName>
    <definedName name="BEx3Q8J42S9VU6EAN2Y28MR6DF88" hidden="1">#REF!</definedName>
    <definedName name="BEx3Q9QA35ZVN9VVHN81BBIVN881" hidden="1">#REF!</definedName>
    <definedName name="BEx3QC9W7U40MAE4K2QR3RMHQDP6" hidden="1">#REF!</definedName>
    <definedName name="BEx3QD0XYUEL1G6J200V2STCORG5" hidden="1">#REF!</definedName>
    <definedName name="BEx3QEDFOYFY5NBTININ5W4RLD4Q" hidden="1">#REF!</definedName>
    <definedName name="BEx3QH2K40ZZFYJES4QCRY78Q560" hidden="1">#REF!</definedName>
    <definedName name="BEx3QIKJ3U962US1Q564NZDLU8LD" hidden="1">#REF!</definedName>
    <definedName name="BEx3QKO1BQ4VC4VLFJICXIB685OI" hidden="1">#REF!</definedName>
    <definedName name="BEx3QOEYF741YHF926CL3PG96PR0" hidden="1">#REF!</definedName>
    <definedName name="BEx3QR9D45DHW50VQ7Y3Q1AXPOB9" hidden="1">#REF!</definedName>
    <definedName name="BEx3QSWT2S5KWG6U2V9711IYDQBM" hidden="1">#REF!</definedName>
    <definedName name="BEx3QU9AZ2X7L6HARK4FI4VDBJG9" hidden="1">#REF!</definedName>
    <definedName name="BEx3QVGG7Q2X4HZHJAM35A8T3VR7" hidden="1">#REF!</definedName>
    <definedName name="BEx3R0JUB9YN8PHPPQTAMIT1IHWK" hidden="1">#REF!</definedName>
    <definedName name="BEx3R0UNS7CZ7SSFM2QSY4WJ85H6" hidden="1">#REF!</definedName>
    <definedName name="BEx3R81NFRO7M81VHVKOBFT0QBIL" hidden="1">#REF!</definedName>
    <definedName name="BEx3RHC2ZD5UFS6QD4OPFCNNMWH1" hidden="1">#REF!</definedName>
    <definedName name="BEx3RHHKZQKATDYCYZK25E5ERWRM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2WXUEQA8PLX4U6G9LJB63ZN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ST4Y5OZXSIK7V846SMFT5B23" hidden="1">#REF!</definedName>
    <definedName name="BEx3SWQG9ED1M1Q5D63K0HZ15GQG" hidden="1">#REF!</definedName>
    <definedName name="BEx3T29ZTULQE0OMSMWUMZDU9ZZ0" hidden="1">#REF!</definedName>
    <definedName name="BEx3T6MJ1QDJ929WMUDVZ0O3UW0Y" hidden="1">#REF!</definedName>
    <definedName name="BEx3TEPSM88IET8PDLKKCHMFEMFM" hidden="1">#REF!</definedName>
    <definedName name="BEx3TIBA219Z17CN0KPMJXME4MEG" hidden="1">#REF!</definedName>
    <definedName name="BEx3TO09F9SV99SJXCUC1B49RVCJ" hidden="1">#REF!</definedName>
    <definedName name="BEx3TPCSI16OAB2L9M9IULQMQ9J9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BQWUJW9KX0PXKZ4TRHMR71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6EJO8BG91O9M5DVBLNPDBKG" hidden="1">#REF!</definedName>
    <definedName name="BEx3VML7CG70HPISMVYIUEN3711Q" hidden="1">#REF!</definedName>
    <definedName name="BEx56ZID5H04P9AIYLP1OASFGV56" hidden="1">#REF!</definedName>
    <definedName name="BEx57PL39821X8KKHLA9TNFHCNS7" hidden="1">#REF!</definedName>
    <definedName name="BEx5802QAJKNHFBFPTR0PSRHQPJE" hidden="1">#REF!</definedName>
    <definedName name="BEx587EYSS57E3PI8DT973HLJM9E" hidden="1">#REF!</definedName>
    <definedName name="BEx587KFQ3VKCOCY1SA5F24PQGUI" hidden="1">#REF!</definedName>
    <definedName name="BEx58ICWA29V74HY4L9QAG6SZ6OV" hidden="1">#REF!</definedName>
    <definedName name="BEx58O780PQ05NF0Z1SKKRB3N099" hidden="1">#REF!</definedName>
    <definedName name="BEx58XHO7ZULLF2EUD7YIS0MGQJ5" hidden="1">#REF!</definedName>
    <definedName name="BEx591ZJ14LAJI4Q8DU3CQQBHZDV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9WPJZYWUOEGJHPOVM5ETCM6G" hidden="1">#REF!</definedName>
    <definedName name="BEx5A11WZRQSIE089QE119AOX9ZG" hidden="1">#REF!</definedName>
    <definedName name="BEx5A53I4OI80LV9DRIR9EFD2XUD" hidden="1">#REF!</definedName>
    <definedName name="BEx5A6G4Q0F3RPTCRY1DF2USEGVQ" hidden="1">#REF!</definedName>
    <definedName name="BEx5A7CIGCOTHJKHGUBDZG91JGPZ" hidden="1">#REF!</definedName>
    <definedName name="BEx5A8UFLT2SWVSG5COFA9B8P376" hidden="1">#REF!</definedName>
    <definedName name="BEx5ACAHJPLAS35SPSXQ88PJYGPI" hidden="1">#REF!</definedName>
    <definedName name="BEx5AFFTN3IXIBHDKM0FYC4OFL1S" hidden="1">#REF!</definedName>
    <definedName name="BEx5ANDOOW91YBCYUL4H4JOJKCSS" hidden="1">#REF!</definedName>
    <definedName name="BEx5AOFIO8KVRHIZ1RII337AA8ML" hidden="1">#REF!</definedName>
    <definedName name="BEx5APRZ66L5BWHFE8E4YYNEDTI4" hidden="1">#REF!</definedName>
    <definedName name="BEx5ARQ6V82KDMN77WT0B1AK7B5S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QN48A0P0HALA6YWGQLFIY7R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DPWJ8BMPHLFWU8AVQG08YJN" hidden="1">#REF!</definedName>
    <definedName name="BEx5CEM3SYF9XP0ZZVE0GEPCLV3F" hidden="1">#REF!</definedName>
    <definedName name="BEx5CFYQ0F1Z6P8SCVJ0I3UPVFE4" hidden="1">#REF!</definedName>
    <definedName name="BEx5CGKBGAI7Q4MGZR4KDJ0G0PD4" hidden="1">#REF!</definedName>
    <definedName name="BEx5CNR9ZYFH7VDST1YKR6JOAOVD" hidden="1">#REF!</definedName>
    <definedName name="BEx5CPEKNSJORIPFQC2E1LTRYY8L" hidden="1">#REF!</definedName>
    <definedName name="BEx5CQR6PPHZ1S1UI8J4XM1TRDYC" hidden="1">#REF!</definedName>
    <definedName name="BEx5CSUOL05D8PAM2TRDA9VRJT1O" hidden="1">#REF!</definedName>
    <definedName name="BEx5CUNFOO4YDFJ22HCMI2QKIGKM" hidden="1">#REF!</definedName>
    <definedName name="BEx5CYZTD0AJ68PSPHQHJ2YCNLGW" hidden="1">#REF!</definedName>
    <definedName name="BEx5D2QRMIHDNLZ4HHRPL9IZ0WLW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E123OLO9WQUOIRIDJ967KAGK" hidden="1">#REF!</definedName>
    <definedName name="BEx5E2UU5NES6W779W2OZTZOB4O7" hidden="1">#REF!</definedName>
    <definedName name="BEx5ELQL9B0VR6UT18KP11DHOTFX" hidden="1">#REF!</definedName>
    <definedName name="BEx5ER4TJTFPN7IB1MNEB1ZFR5M6" hidden="1">#REF!</definedName>
    <definedName name="BEx5EUKT8FDOB4FE3KL8K0HLI4GI" hidden="1">#REF!</definedName>
    <definedName name="BEx5EZ2ORDJQSTT4KQMZALOFR80B" hidden="1">#REF!</definedName>
    <definedName name="BEx5F22JW5P42GCB7LK4K08FRB4H" hidden="1">#REF!</definedName>
    <definedName name="BEx5F6V72QTCK7O39Y59R0EVM6CW" hidden="1">#REF!</definedName>
    <definedName name="BEx5FGLQVACD5F5YZG4DGSCHCGO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SW55LVAZI956T9XU4KIBELE" hidden="1">#REF!</definedName>
    <definedName name="BEx5FTCEIIRM9OOPXK6PB2KJSLTA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5C00VL2C3VDTPU5EVL1AIGI" hidden="1">#REF!</definedName>
    <definedName name="BEx5G86DZL1VYUX6KWODAP3WFAWP" hidden="1">#REF!</definedName>
    <definedName name="BEx5G8BV2GIOCM3C7IUFK8L04A6M" hidden="1">#REF!</definedName>
    <definedName name="BEx5G8H70AOIQNK90C2VU5BAF8TV" hidden="1">#REF!</definedName>
    <definedName name="BEx5GE66YNPSS5MSPTBXLYLNUHSJ" hidden="1">#REF!</definedName>
    <definedName name="BEx5GI7XQ3JQ5RALED6WJS5I1DEC" hidden="1">#REF!</definedName>
    <definedName name="BEx5GID9MVBUPFFT9M8K8B5MO9NV" hidden="1">#REF!</definedName>
    <definedName name="BEx5GL2CVWMY3S947ALVPBQG1W21" hidden="1">#REF!</definedName>
    <definedName name="BEx5GN0EWA9SCQDPQ7NTUQH82QVK" hidden="1">#REF!</definedName>
    <definedName name="BEx5GNBCU4WZ74I0UXFL9ZG2XSGJ" hidden="1">#REF!</definedName>
    <definedName name="BEx5GT5PB17R2GKX3F4H7WWN4M94" hidden="1">#REF!</definedName>
    <definedName name="BEx5GUCTYC7QCWGWU5BTO7Y7HDZX" hidden="1">#REF!</definedName>
    <definedName name="BEx5GYUPJULJQ624TEESYFG1NFOH" hidden="1">#REF!</definedName>
    <definedName name="BEx5GZR2KDETMC7ZPNE1YU6YELWI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Z9JMKHNLFWLVUB1WP5B39BL" hidden="1">#REF!</definedName>
    <definedName name="BEx5I1IJ5FPARU55PW74HWRT4IL4" hidden="1">#REF!</definedName>
    <definedName name="BEx5I244LQHZTF3XI66J8705R9XX" hidden="1">#REF!</definedName>
    <definedName name="BEx5I3B4OHOD6SAPLK3PZDRO1GYC" hidden="1">#REF!</definedName>
    <definedName name="BEx5I4CZWURJPJZH95QO8E7MXFWV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DNGNZ86TF0PA49SWHID0BNZ" hidden="1">#REF!</definedName>
    <definedName name="BEx5IUFN8YM0A3ILTSI41RFU0TRD" hidden="1">#REF!</definedName>
    <definedName name="BEx5J0FFP1KS4NGY20AEJI8VREEA" hidden="1">#REF!</definedName>
    <definedName name="BEx5JDBE7A7O8TSEPPJPT9UF25SQ" hidden="1">#REF!</definedName>
    <definedName name="BEx5JENWEOFTGZKHO3S5NBMJX1IX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NCT8Z7XSSPD5EMNAJELCU2V" hidden="1">#REF!</definedName>
    <definedName name="BEx5JP02DZ97IB62ITCKG1MMWBKN" hidden="1">#REF!</definedName>
    <definedName name="BEx5JQCNT9Y4RM306CHC8IPY3HBZ" hidden="1">#REF!</definedName>
    <definedName name="BEx5JTHW7OW4QTNV5XZ3NC20LDLF" hidden="1">#REF!</definedName>
    <definedName name="BEx5K08PYKE6JOKBYIB006TX619P" hidden="1">#REF!</definedName>
    <definedName name="BEx5K1AKPNBF18M8BS3MHI13PF7R" hidden="1">#REF!</definedName>
    <definedName name="BEx5K21HQCDNYPG2QWFOVS99PE4A" hidden="1">#REF!</definedName>
    <definedName name="BEx5K2C8S036ZINO7B8TYY3OOE0T" hidden="1">#REF!</definedName>
    <definedName name="BEx5K51DSERT1TR7B4A29R41W4NX" hidden="1">#REF!</definedName>
    <definedName name="BEx5KCJ4JCAHU2E4LCLVKFWL64CX" hidden="1">#REF!</definedName>
    <definedName name="BEx5KM9PJMIQFJSBANJO5FVW3Z28" hidden="1">#REF!</definedName>
    <definedName name="BEx5KOO1FHA4BJJBZGOZKTK8PRRN" hidden="1">#REF!</definedName>
    <definedName name="BEx5KRIL3PFC9PIM7NQWA09TEQWG" hidden="1">#REF!</definedName>
    <definedName name="BEx5KYER580I4T7WTLMUN7NLNP5K" hidden="1">#REF!</definedName>
    <definedName name="BEx5L55H4ZPDP6JKO7KC1Y11PSDE" hidden="1">#REF!</definedName>
    <definedName name="BEx5LCN6ESL7ML8JEL4HMLU5QG2N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UMK2KCV4OFIZ04KIDMA61UV" hidden="1">#REF!</definedName>
    <definedName name="BEx5LWQ2YRWKLHNPUOX7A77685LZ" hidden="1">#REF!</definedName>
    <definedName name="BEx5M7T5JER9G2MLDH3G50GCW8PO" hidden="1">#REF!</definedName>
    <definedName name="BEx5MAIGJD3C3AO0RGLKRTEZBVUE" hidden="1">#REF!</definedName>
    <definedName name="BEx5MB9BR71LZDG7XXQ2EO58JC5F" hidden="1">#REF!</definedName>
    <definedName name="BEx5MCGGVKJV11R3BOROTOR4ZQEF" hidden="1">#REF!</definedName>
    <definedName name="BEx5MLQZM68YQSKARVWTTPINFQ2C" hidden="1">[4]Table!#REF!</definedName>
    <definedName name="BEx5MVXTKNBXHNWTL43C670E4KXC" hidden="1">#REF!</definedName>
    <definedName name="BEx5MXFQSNVQ811NT54OX2RA9W4U" hidden="1">#REF!</definedName>
    <definedName name="BEx5N4XI4PWB1W9PMZ4O5R0HWTYD" hidden="1">#REF!</definedName>
    <definedName name="BEx5N5Z6H3QMA6ZTSKW7C73U844T" hidden="1">#REF!</definedName>
    <definedName name="BEx5NA68N6FJFX9UJXK4M14U487F" hidden="1">#REF!</definedName>
    <definedName name="BEx5NIKBG2GDJOYGE3WCXKU7YY51" hidden="1">#REF!</definedName>
    <definedName name="BEx5NTCRQ7HSS9HNNQH8KR4N1T0S" hidden="1">#REF!</definedName>
    <definedName name="BEx5NUEM24ZED9VYADF1LHA31YNV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HMPVKGU7KRC8PSANQ6PGXXT" hidden="1">#REF!</definedName>
    <definedName name="BEx5OHMQ1BV4LCT7RX025V9QM1RU" hidden="1">#REF!</definedName>
    <definedName name="BEx5OHXI4R617RH4NY6VKOI4ZRA2" hidden="1">#REF!</definedName>
    <definedName name="BEx5OK114DNT5FV1GPR4X1OSM28Y" hidden="1">#REF!</definedName>
    <definedName name="BEx5OP9Y43F99O2IT69MKCCXGL61" hidden="1">#REF!</definedName>
    <definedName name="BEx5OXIKDIYQDT89AL1I005KPLFQ" hidden="1">#REF!</definedName>
    <definedName name="BEx5PFCGHS5KNOOZ188YC0835LU4" hidden="1">#REF!</definedName>
    <definedName name="BEx5PFCIKGMS7RN52PY6VOLZEG5H" hidden="1">#REF!</definedName>
    <definedName name="BEx5PHG040UB6SAJGMT6H4JLV2O8" hidden="1">#REF!</definedName>
    <definedName name="BEx5PHQSYC1ISNAY73I6DZ6WVQPC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PYJ0R23IWDF63YX50AXLWCHM" hidden="1">#REF!</definedName>
    <definedName name="BEx5PYJ1M7KNW4566RAPKTK159HP" hidden="1">#REF!</definedName>
    <definedName name="BEx5Q3MFDTA0W29W0NSRRYGI4ZSA" hidden="1">#REF!</definedName>
    <definedName name="BEx5QGT6ZJDVW73MNRC6IUML0GKF" hidden="1">#REF!</definedName>
    <definedName name="BEx5QPSW4IPLH50WSR87HRER05RF" hidden="1">#REF!</definedName>
    <definedName name="BEx73QTARSC1O5HM1SD1VO52PP0X" hidden="1">#REF!</definedName>
    <definedName name="BEx73V0EP8EMNRC3EZJJKKVKWQVB" hidden="1">#REF!</definedName>
    <definedName name="BEx741WJHIJVXUX131SBXTVW8D71" hidden="1">#REF!</definedName>
    <definedName name="BEx746ZZ73QHTXKD87X7R3HKC2KM" hidden="1">#REF!</definedName>
    <definedName name="BEx74B6ZKQPPBG3VART9GLOXDFHU" hidden="1">#REF!</definedName>
    <definedName name="BEx74IZJLRUQ03RCK06W91H2260J" hidden="1">#REF!</definedName>
    <definedName name="BEx74Q6H3O7133AWQXWC21MI2UFT" hidden="1">#REF!</definedName>
    <definedName name="BEx74W6BJ8ENO3J25WNM5H5APKA3" hidden="1">#REF!</definedName>
    <definedName name="BEx755GRRD9BL27YHLH5QWIYLWB7" hidden="1">#REF!</definedName>
    <definedName name="BEx757V4HY4OAGXYAJGM7RJQE3NM" hidden="1">#REF!</definedName>
    <definedName name="BEx759D1D5SXS5ELLZVBI0SXYUNF" hidden="1">#REF!</definedName>
    <definedName name="BEx75BGL4B587TM29E78APZYJUTT" hidden="1">#REF!</definedName>
    <definedName name="BEx75FYEY8GOPVIK0YHC88UIP8EX" hidden="1">#REF!</definedName>
    <definedName name="BEx75GJZSZHUDN6OOAGQYFUDA2LP" hidden="1">#REF!</definedName>
    <definedName name="BEx75HGCCV5K4UCJWYV8EV9AG5YT" hidden="1">#REF!</definedName>
    <definedName name="BEx75MJT47XEWZSLZAG6IUOQKXIX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6LWYFELGEC2AKLOZPPKO1SUD" hidden="1">#REF!</definedName>
    <definedName name="BEx76NUZ4MO1DXYFKT8BFVX6PUEW" hidden="1">#REF!</definedName>
    <definedName name="BEx76QUXWMSIBJUVEXPW6M8NU904" hidden="1">#REF!</definedName>
    <definedName name="BEx76YY97UXGS3E9VRT4HO94FEQD" hidden="1">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OQ625E4LSEXLQEMAZHPDMMC" hidden="1">#REF!</definedName>
    <definedName name="BEx77P0S3GVMS7BJUL9OWUGJ1B02" hidden="1">#REF!</definedName>
    <definedName name="BEx77QDESURI6WW5582YXSK3A972" hidden="1">#REF!</definedName>
    <definedName name="BEx77SBMTMRBLLX6TOCCG5CHIP48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A5IYYCMR88AXOWEFKVY8371" hidden="1">#REF!</definedName>
    <definedName name="BEx78A5JAWI6EMCWJ7AJWGAH8AMJ" hidden="1">#REF!</definedName>
    <definedName name="BEx78HHRIWDLHQX2LG0HWFRYEL1T" hidden="1">#REF!</definedName>
    <definedName name="BEx78NSKC3OQCQ4WQAIZ6JURE7GW" hidden="1">#REF!</definedName>
    <definedName name="BEx78OOPYID4QYC9KQ8TPDG220E4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HRD8NL9EMUOALME68ALFZYA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OUHTDD16ZGGUBH3JDBW1VZ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QV3PGI9EVX19Y61TNZWQD3Z" hidden="1">#REF!</definedName>
    <definedName name="BEx7ASD1I654MEDCO6GGWA95PXSC" hidden="1">#REF!</definedName>
    <definedName name="BEx7ASYMO87QTI4OGS8RP4M3OLYE" hidden="1">#REF!</definedName>
    <definedName name="BEx7AVCX9S5RJP3NSZ4QM4E6ERDT" hidden="1">#REF!</definedName>
    <definedName name="BEx7AVYIGP0930MV5JEBWRYCJN68" hidden="1">#REF!</definedName>
    <definedName name="BEx7B3LKPGMDIE1WTF5ZO95GA2PN" hidden="1">#REF!</definedName>
    <definedName name="BEx7B4CM60JK0UKAQVRB1SZZKGPV" hidden="1">#REF!</definedName>
    <definedName name="BEx7B6LH6917TXOSAAQ6U7HVF018" hidden="1">#REF!</definedName>
    <definedName name="BEx7B6WA21ZV7DT78UL96PVQ3TXB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93VR7SYRIJS1JO8YZKSFAW9" hidden="1">#REF!</definedName>
    <definedName name="BEx7CC3W1O7ZM51GSN0FZLNAMCS5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CWMXR163ZZ4O82307K7DMYFL" hidden="1">#REF!</definedName>
    <definedName name="BEx7CZ6KK8MMDBDW33BCKWCTID7F" hidden="1">#REF!</definedName>
    <definedName name="BEx7D5RWKRS4W71J4NZ6ZSFHPKFT" hidden="1">#REF!</definedName>
    <definedName name="BEx7D8H1TPOX1UN17QZYEV7Q58GA" hidden="1">#REF!</definedName>
    <definedName name="BEx7DA4AG5FV25OA4AQSFQJEKKW4" hidden="1">#REF!</definedName>
    <definedName name="BEx7DD4D7DAI5BN4L7AHWYB979CQ" hidden="1">#REF!</definedName>
    <definedName name="BEx7DGF13H2074LRWFZQ45PZ6JPX" hidden="1">#REF!</definedName>
    <definedName name="BEx7DKWUXEDIISSX4GDD4YYT887F" hidden="1">#REF!</definedName>
    <definedName name="BEx7DVJTRV44IMJIBFXELE67SZ7S" hidden="1">#REF!</definedName>
    <definedName name="BEx7DVUMFCI5INHMVFIJ44RTTSTT" hidden="1">#REF!</definedName>
    <definedName name="BEx7DXHVQ3XRVZ2H7QO8TYMIA4P9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I6C8MCRZFEQYUBE5FSUTIHK" hidden="1">#REF!</definedName>
    <definedName name="BEx7EQKHX7GZYOLXRDU534TT4H64" hidden="1">#REF!</definedName>
    <definedName name="BEx7ETV6L1TM7JSXJIGK3FC6RVZW" hidden="1">#REF!</definedName>
    <definedName name="BEx7EYYLHMBYQTH6I377FCQS7CSX" hidden="1">#REF!</definedName>
    <definedName name="BEx7F3GG2FI10JUMINUOIYICFVD9" hidden="1">#REF!</definedName>
    <definedName name="BEx7F4NMGGTZWR8S7710RWGFG8W2" hidden="1">#REF!</definedName>
    <definedName name="BEx7FBJRLJUZKK1FVSCNP0F4GBYT" hidden="1">#REF!</definedName>
    <definedName name="BEx7FCLG1RYI2SNOU1Y2GQZNZSWA" hidden="1">#REF!</definedName>
    <definedName name="BEx7FEJOQNYA7A6O7YB4SBB1KK73" hidden="1">#REF!</definedName>
    <definedName name="BEx7FGHUUB7TUR6ENPX25E8BF7XD" hidden="1">#REF!</definedName>
    <definedName name="BEx7FGN65QUHF4GORNTDI6AL6C72" hidden="1">#REF!</definedName>
    <definedName name="BEx7FN32ZGWOAA4TTH79KINTDWR9" hidden="1">#REF!</definedName>
    <definedName name="BEx7FTOFOYQLDCCOJY1H3JHICFOI" hidden="1">#REF!</definedName>
    <definedName name="BEx7FVMORQ1N6SIECWJVJWT23E6Y" hidden="1">#REF!</definedName>
    <definedName name="BEx7FZ2NBD60FXGNYS120WYBTXA3" hidden="1">#REF!</definedName>
    <definedName name="BEx7G2YZ60XLOWR8GPJIRCGIRZVO" hidden="1">#REF!</definedName>
    <definedName name="BEx7G82CKM3NIY1PHNFK28M09PCH" hidden="1">#REF!</definedName>
    <definedName name="BEx7G8NXEICMLU8NILVLHR28M4L6" hidden="1">#REF!</definedName>
    <definedName name="BEx7GMG8RQ2YB3WVSLKZZZKKRMV0" hidden="1">#REF!</definedName>
    <definedName name="BEx7GQCIM1W1OR8EP7JKRMYGFHW2" hidden="1">#REF!</definedName>
    <definedName name="BEx7GR3ENYWRXXS5IT0UMEGOLGUH" hidden="1">#REF!</definedName>
    <definedName name="BEx7GSAL6P7TASL8MB63RFST1LJL" hidden="1">#REF!</definedName>
    <definedName name="BEx7GSLEAEDT83F2LWWOC5ZLL5JW" hidden="1">#REF!</definedName>
    <definedName name="BEx7H0JD6I5I8WQLLWOYWY5YWPQE" hidden="1">#REF!</definedName>
    <definedName name="BEx7H14XCXH7WEXEY1HVO53A6AGH" hidden="1">#REF!</definedName>
    <definedName name="BEx7H2XOZSR9NYB77U5E0VGTRHY5" hidden="1">#REF!</definedName>
    <definedName name="BEx7H6ZA84EDCYX9HQKE2VH03R77" hidden="1">#REF!</definedName>
    <definedName name="BEx7H7A3IND3XX895B1NI519TC8J" hidden="1">#REF!</definedName>
    <definedName name="BEx7H7QCKGTY7DLZEW7MCSFZAPU3" hidden="1">#REF!</definedName>
    <definedName name="BEx7HBMMP91MS8FW4Q7T49482LD3" hidden="1">#REF!</definedName>
    <definedName name="BEx7HGVBEF4LEIF6RC14N3PSU461" hidden="1">#REF!</definedName>
    <definedName name="BEx7HQ5T9FZ42QWS09UO4DT42Y0R" hidden="1">#REF!</definedName>
    <definedName name="BEx7HRCZE3CVGON1HV07MT5MNDZ3" hidden="1">#REF!</definedName>
    <definedName name="BEx7I9SF974F0QVZHSQ1SGHUWNC4" hidden="1">#REF!</definedName>
    <definedName name="BEx7IBVYN47SFZIA0K4MDKQZNN9V" hidden="1">#REF!</definedName>
    <definedName name="BEx7IJTYZHWYWQ1TQVKRC67VVT77" hidden="1">#REF!</definedName>
    <definedName name="BEx7IV2IJ5WT7UC0UG7WP0WF2JZI" hidden="1">#REF!</definedName>
    <definedName name="BEx7IWV99LM4FB1AXIXRNLT7DZJM" hidden="1">#REF!</definedName>
    <definedName name="BEx7IXGU74GE5E4S6W4Z13AR092Y" hidden="1">#REF!</definedName>
    <definedName name="BEx7J4YL8Q3BI1MLH16YYQ18IJRD" hidden="1">#REF!</definedName>
    <definedName name="BEx7J9B4EOP8JPRQCUQJTYF4X0D6" hidden="1">#REF!</definedName>
    <definedName name="BEx7JH3HGBPI07OHZ5LFYK0UFZQR" hidden="1">#REF!</definedName>
    <definedName name="BEx7JV194190CNM6WWGQ3UBJ3CHH" hidden="1">#REF!</definedName>
    <definedName name="BEx7K0VL25LF11UTEBHWBIQ4JLM9" hidden="1">#REF!</definedName>
    <definedName name="BEx7K7GZ607XQOGB81A1HINBTGOZ" hidden="1">#REF!</definedName>
    <definedName name="BEx7KEYPBDXSNROH8M6CDCBN6B50" hidden="1">#REF!</definedName>
    <definedName name="BEx7KJB97T25GA8DIX4N9JJHDMLH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3DZH58ZUVXJY3QMJYM4KE2N" hidden="1">#REF!</definedName>
    <definedName name="BEx7L5C6U8MP6IZ67BD649WQYJEK" hidden="1">#REF!</definedName>
    <definedName name="BEx7L8HEYEVTATR0OG5JJO647KNI" hidden="1">#REF!</definedName>
    <definedName name="BEx7L8XNMKQFTH5FS7EERWB620FP" hidden="1">#REF!</definedName>
    <definedName name="BEx7L8XOV64OMS15ZFURFEUXLMWF" hidden="1">#REF!</definedName>
    <definedName name="BEx7MAUI1JJFDIJGDW4RWY5384LY" hidden="1">#REF!</definedName>
    <definedName name="BEx7MJJD9DO9JV17HHN3W2F52ZBJ" hidden="1">#REF!</definedName>
    <definedName name="BEx7MJZO3UKAMJ53UWOJ5ZD4GGMQ" hidden="1">#REF!</definedName>
    <definedName name="BEx7MT4MFNXIVQGAT6D971GZW7CA" hidden="1">#REF!</definedName>
    <definedName name="BEx7MWQ4A6ZYGJ89561I4DOOUIFD" hidden="1">#REF!</definedName>
    <definedName name="BEx7N60M9WU9F1VEN6RNAZLDF0B5" hidden="1">#REF!</definedName>
    <definedName name="BEx7NI062THZAM6I8AJWTFJL91CS" hidden="1">#REF!</definedName>
    <definedName name="BEx7NPSQD0X4ML0ZS5G23QF9FYDL" hidden="1">#REF!</definedName>
    <definedName name="BEx7O5DS60BDNK8RNH90L5CEDZ2L" hidden="1">#REF!</definedName>
    <definedName name="BEx8ZTZTA8MIGKYWQCB09W9MPHU5" hidden="1">#REF!</definedName>
    <definedName name="BEx8ZY6UFM571XUE82FQZRNOKP90" hidden="1">#REF!</definedName>
    <definedName name="BEx904S75BPRYMHF0083JF7ES4NG" hidden="1">#REF!</definedName>
    <definedName name="BEx90CVJHW2G83ZSI8F4ZSPTFSPI" hidden="1">#REF!</definedName>
    <definedName name="BEx90HDD4RWF7JZGA8GCGG7D63MG" hidden="1">#REF!</definedName>
    <definedName name="BEx90OV3J49O7YP9P5IR6RIC2FUG" hidden="1">#REF!</definedName>
    <definedName name="BEx90RV0IWBIN87A3IH3WWEEEDAL" hidden="1">#REF!</definedName>
    <definedName name="BEx90VGH5H09ON2QXYC9WIIEU98T" hidden="1">#REF!</definedName>
    <definedName name="BEx90VGHBG3CR0145376RY0L2P0T" hidden="1">#REF!</definedName>
    <definedName name="BEx910EG15F1SJDB6ZGWLXITI5ER" hidden="1">#REF!</definedName>
    <definedName name="BEx911LL5B8I5ML7C31C85W5GX2N" hidden="1">#REF!</definedName>
    <definedName name="BEx91276TPY2V5HSSRFU7W1XXIHQ" hidden="1">#REF!</definedName>
    <definedName name="BEx916JP1BUY1MQ8MH39NFGQDN2M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PVKD2UGJNR99ZQP9FGI0CE9" hidden="1">#REF!</definedName>
    <definedName name="BEx91QH5JRZKQP1GPN2SQMR3CKAG" hidden="1">#REF!</definedName>
    <definedName name="BEx91ROALDNHO7FI4X8L61RH4UJE" hidden="1">#REF!</definedName>
    <definedName name="BEx91SVG5JM4KYDKSI8ERP34Y2B9" hidden="1">#REF!</definedName>
    <definedName name="BEx91TMID71GVYH0U16QM1RV3PX0" hidden="1">#REF!</definedName>
    <definedName name="BEx91VF2D78PAF337E3L2L81K9W2" hidden="1">#REF!</definedName>
    <definedName name="BEx91YKG5M0ZZDVWNGF80SPL8GUP" hidden="1">#REF!</definedName>
    <definedName name="BEx921PNZ46VORG2VRMWREWIC0SE" hidden="1">#REF!</definedName>
    <definedName name="BEx928B6MG9TB6KMLSCZSGN22TP4" hidden="1">#REF!</definedName>
    <definedName name="BEx92DJXEXVC627QL1HYSV2VSHSS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L6YTU3VST9Z24LZWZ1PD9YV" hidden="1">#REF!</definedName>
    <definedName name="BEx92PUBDIXAU1FW5ZAXECMAU0LN" hidden="1">#REF!</definedName>
    <definedName name="BEx92S8MHFFIVRQ2YSHZNQGOFUHD" hidden="1">#REF!</definedName>
    <definedName name="BEx92VDUNIU559ZUK06BK85JSL2P" hidden="1">#REF!</definedName>
    <definedName name="BEx92YZCF2BZD998GFFPK0CO7C2D" hidden="1">#REF!</definedName>
    <definedName name="BEx9359WXPYA4ESBHNY4U33G1VCM" hidden="1">#REF!</definedName>
    <definedName name="BEx935VHGQGAJAXJKSPCC6GC2KIE" hidden="1">#REF!</definedName>
    <definedName name="BEx93B9OULL2YGC896XXYAAJSTRK" hidden="1">#REF!</definedName>
    <definedName name="BEx93EF2OPUY92WSYH0W2RMHNX2M" hidden="1">#REF!</definedName>
    <definedName name="BEx93FRKF99NRT3LH99UTIH7AAYF" hidden="1">#REF!</definedName>
    <definedName name="BEx93M7F4DPCDMBHR7MFT1YJ1CGQ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E8CBMGM9YP8Z0W8OWHAAZH1" hidden="1">#REF!</definedName>
    <definedName name="BEx94GBWG7OVTNLU37O6ZS3NJTPW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N7W5T3U7UOE97D6OVIBUCXS" hidden="1">#REF!</definedName>
    <definedName name="BEx94RV7M0WCQ0J67A92EC1WJN9T" hidden="1">#REF!</definedName>
    <definedName name="BEx955NIAWX5OLAHMTV6QFUZPR30" hidden="1">#REF!</definedName>
    <definedName name="BEx9581TYVI2M5TT4ISDAJV4W7Z6" hidden="1">#REF!</definedName>
    <definedName name="BEx95874Z00YEHSLRTRDZ16RU0DQ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6WFU8FO6L00DOSIFNKHE0FGH" hidden="1">#REF!</definedName>
    <definedName name="BEx96ZFSL2RKJEUGLTOWPZP1RZEE" hidden="1">#REF!</definedName>
    <definedName name="BEx978KSD61YJH3S9DGO050R2EHA" hidden="1">#REF!</definedName>
    <definedName name="BEx97BVFMNM9SK740E002869ZTBQ" hidden="1">#REF!</definedName>
    <definedName name="BEx97H9O1NAKAPK4MX4PKO34ICL5" hidden="1">#REF!</definedName>
    <definedName name="BEx97JYRRJGJNMS6TPLUNAJHJC2P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35B58KIFC0FZEADJ60M01Z9" hidden="1">#REF!</definedName>
    <definedName name="BEx9871KU0N99P0900EAK69VFYT2" hidden="1">#REF!</definedName>
    <definedName name="BEx989AEVOSQJ1AP3PPGVHGRGSP2" hidden="1">#REF!</definedName>
    <definedName name="BEx98IFKNJFGZFLID1YTRFEG1SXY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995OO0X4HC0IQDAISYRWAJG" hidden="1">#REF!</definedName>
    <definedName name="BEx99B77I7TUSHRR4HIZ9FU2EIUT" hidden="1">#REF!</definedName>
    <definedName name="BEx99Q6PH5F3OQKCCAAO75PYDEFN" hidden="1">#REF!</definedName>
    <definedName name="BEx99RJCPB967NHR2VSUSLUOOEQC" hidden="1">#REF!</definedName>
    <definedName name="BEx99WBYT2D6UUC1PT7A40ENYID4" hidden="1">#REF!</definedName>
    <definedName name="BEx99YFJ8JDPEEEQRABGIA0M020Y" hidden="1">#REF!</definedName>
    <definedName name="BEx99ZRZ4I7FHDPGRAT5VW7NVBPU" hidden="1">#REF!</definedName>
    <definedName name="BEx9A7KI51TIYTRS8LG8HI4LRW89" hidden="1">#REF!</definedName>
    <definedName name="BEx9ADPRQZSMQBC5ZVK9Y67PRZBV" hidden="1">#REF!</definedName>
    <definedName name="BEx9AKWPNM58M88D1ZL7PKKW6ES3" hidden="1">#REF!</definedName>
    <definedName name="BEx9ARY7F2Q2JQT63RW0CEZQ1WDB" hidden="1">#REF!</definedName>
    <definedName name="BEx9AT5E3ZSHKSOL35O38L8HF9TH" hidden="1">#REF!</definedName>
    <definedName name="BEx9AV8W1FAWF5BHATYEN47X12JN" hidden="1">#REF!</definedName>
    <definedName name="BEx9AXN7JESJ5CFXGKWRYJFMKVT4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AOGUISRQKRB42IUZNSUS3RS" hidden="1">#REF!</definedName>
    <definedName name="BEx9BCBV86NAOTMCAYGOG2K426CC" hidden="1">#REF!</definedName>
    <definedName name="BEx9BMYTXBC21OW7X7RPMXKY8RTJ" hidden="1">#REF!</definedName>
    <definedName name="BEx9BWESFUJYVS5YUPZLNDISVBO6" hidden="1">#REF!</definedName>
    <definedName name="BEx9BYSYW7QCPXS2NAVLFAU5Y2Z2" hidden="1">#REF!</definedName>
    <definedName name="BEx9C17AHM4NMY8G3WK6YQ0T0WDU" hidden="1">#REF!</definedName>
    <definedName name="BEx9C590HJ2O31IWJB73C1HR74AI" hidden="1">#REF!</definedName>
    <definedName name="BEx9CJHG02ADUIJ0WCG5FYLWETIN" hidden="1">#REF!</definedName>
    <definedName name="BEx9CMMSQA4LXHX5RGGTAJ9WVHTY" hidden="1">#REF!</definedName>
    <definedName name="BEx9CN8FCTT5N8DY1F7MWKKF3IMR" hidden="1">#REF!</definedName>
    <definedName name="BEx9CTDJ6OYUCCHJVREB4QE71EVB" hidden="1">#REF!</definedName>
    <definedName name="BEx9D10Q2ZZE8WJ6AN6SURXPZ1SY" hidden="1">#REF!</definedName>
    <definedName name="BEx9D1BC9FT19KY0INAABNDBAMR1" hidden="1">#REF!</definedName>
    <definedName name="BEx9DEYCLVYLNWZY3NVCKFJINA1S" hidden="1">#REF!</definedName>
    <definedName name="BEx9DGLRBAA81DUUOT35XR05XLKG" hidden="1">#REF!</definedName>
    <definedName name="BEx9DIZXF9X0GE90ROFYKV6K3PM9" hidden="1">#REF!</definedName>
    <definedName name="BEx9DN6ZMF18Q39MPMXSDJTZQNJ3" hidden="1">#REF!</definedName>
    <definedName name="BEx9DZ1AEGNZP8A5EXI0U7Y2WC9T" hidden="1">#REF!</definedName>
    <definedName name="BEx9E08EK253W8SNA7NOGR32IG6U" hidden="1">#REF!</definedName>
    <definedName name="BEx9E14TDNSEMI784W0OTIEQMWN6" hidden="1">#REF!</definedName>
    <definedName name="BEx9E2BZ2B1R41FMGJCJ7JLGLUAJ" hidden="1">#REF!</definedName>
    <definedName name="BEx9EEGVFGD9P2J88ICA4KVPXY9N" hidden="1">#REF!</definedName>
    <definedName name="BEx9EG9KBJ77M8LEOR9ITOKN5KXY" hidden="1">#REF!</definedName>
    <definedName name="BEx9EHGQHOBSWB60JAPUOVE46FK0" hidden="1">#REF!</definedName>
    <definedName name="BEx9EIT83IQ6DV0RKC948PZ2OY2D" hidden="1">#REF!</definedName>
    <definedName name="BEx9EMK6HAJJMVYZTN5AUIV7O1E6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7JFCEL903D4BQV8EUBTK56A" hidden="1">#REF!</definedName>
    <definedName name="BEx9FF16LOQP5QIR4UHW5EIFGQB8" hidden="1">#REF!</definedName>
    <definedName name="BEx9FJTSRCZ3ZXT3QVBJT5NF8T7V" hidden="1">#REF!</definedName>
    <definedName name="BEx9FOGZWU8N2RIXNBOMIOEI3T7A" hidden="1">#REF!</definedName>
    <definedName name="BEx9FRBEEYPS5HLS3XT34AKZN94G" hidden="1">#REF!</definedName>
    <definedName name="BEx9G17GB2V3PQ50QQFW2NROEZT9" hidden="1">#REF!</definedName>
    <definedName name="BEx9G6GC86CC9EQ8WKNRPFKSU1OG" hidden="1">#REF!</definedName>
    <definedName name="BEx9G892CF6SM99J007LDYZPPYNL" hidden="1">#REF!</definedName>
    <definedName name="BEx9GC5D36L39I7SO59RIHBOLHQ4" hidden="1">#REF!</definedName>
    <definedName name="BEx9GDY4D8ZPQJCYFIMYM0V0C51Y" hidden="1">#REF!</definedName>
    <definedName name="BEx9GGY04V0ZWI6O9KZH4KSBB389" hidden="1">#REF!</definedName>
    <definedName name="BEx9GJCC7BWX156MTPY59VC5JN0O" hidden="1">#REF!</definedName>
    <definedName name="BEx9GNOPB6OZ2RH3FCDNJR38RJOS" hidden="1">#REF!</definedName>
    <definedName name="BEx9GNU701BD7YSS9TFG6GMA2Z8A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LJWEQ1CYA4FNIITKQG335BQ" hidden="1">#REF!</definedName>
    <definedName name="BEx9HQHV4N00R3PBTH3QTYPDU3WQ" hidden="1">#REF!</definedName>
    <definedName name="BEx9HXUAKRXMUS63ANJSCJAY5NL5" hidden="1">#REF!</definedName>
    <definedName name="BEx9I8XIG7E5NB48QQHXP23FIN60" hidden="1">#REF!</definedName>
    <definedName name="BEx9IO2A98BKN9I1C53Y9L8W32RZ" hidden="1">#REF!</definedName>
    <definedName name="BEx9IQRF01ATLVK0YE60ARKQJ68L" hidden="1">#REF!</definedName>
    <definedName name="BEx9IRYKZZO9KIDSRSXA45EGJ6MR" hidden="1">#REF!</definedName>
    <definedName name="BEx9IT5QNZWKM6YQ5WER0DC2PMMU" hidden="1">#REF!</definedName>
    <definedName name="BEx9IW5MFLXTVCJHVUZTUH93AXOS" hidden="1">#REF!</definedName>
    <definedName name="BEx9IX1ZRFUE85ATW4NGTSACFIOO" hidden="1">#REF!</definedName>
    <definedName name="BEx9IXCSPSZC80YZUPRCYTG326KV" hidden="1">#REF!</definedName>
    <definedName name="BEx9IZR39NHDGOM97H4E6F81RTQW" hidden="1">#REF!</definedName>
    <definedName name="BEx9J1EJIB9UVZKMZ7QHB9U6VVOO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VUBNZYM1R3XIGOA8R8I2I7L7" hidden="1">#REF!</definedName>
    <definedName name="BExAW4IIW5D0MDY6TJ3G4FOLPYIR" hidden="1">#REF!</definedName>
    <definedName name="BExAWB3VI8ASYL6JT81K7IGDT2W8" hidden="1">#REF!</definedName>
    <definedName name="BExAWUL6XUYLHX5005OWBP81TEQ9" hidden="1">#REF!</definedName>
    <definedName name="BExAX2TU15VIP65OGKSZD41PMO4N" hidden="1">#REF!</definedName>
    <definedName name="BExAX410NB4F2XOB84OR2197H8M5" hidden="1">#REF!</definedName>
    <definedName name="BExAX8TNG8LQ5Q4904SAYQIPGBSV" hidden="1">#REF!</definedName>
    <definedName name="BExAXEDC2IXZ6Z8R5OUFS8OGJR89" hidden="1">#REF!</definedName>
    <definedName name="BExAXI9K2PJQH4QLETR7MGS2BNZZ" hidden="1">#REF!</definedName>
    <definedName name="BExAXJM2R692Q2SUI3CRRLHQ6LH7" hidden="1">#REF!</definedName>
    <definedName name="BExAXL3ZT02BUZOGSRNS6WGCOV7K" hidden="1">#REF!</definedName>
    <definedName name="BExAXL40LDNIK611AYB1QPTYW9XW" hidden="1">#REF!</definedName>
    <definedName name="BExAY0EAT2LXR5MFGM0DLIB45PLO" hidden="1">#REF!</definedName>
    <definedName name="BExAY9DZDS6RN4F7LPICOBGZ4AF5" hidden="1">#REF!</definedName>
    <definedName name="BExAY9ZJT64UBNSHPOGOXOER0FA5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OO9DKXP4BYOJNDXGK1R2ZSV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VKDXJJ761HTFFUOH6P2CSF7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FTTSXASHLBAG5O0MNFU583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AD5NV0KPBBQWTDR2YYLADML" hidden="1">#REF!</definedName>
    <definedName name="BExB0FRDEYDEUEAB1W8KD6D965XA" hidden="1">#REF!</definedName>
    <definedName name="BExB0I5OMP6MF7JNMNO53X88XR9L" hidden="1">#REF!</definedName>
    <definedName name="BExB0KPCN7YJORQAYUCF4YKIKPMC" hidden="1">#REF!</definedName>
    <definedName name="BExB0LWGXIFEHWQCQQFBKZBZ9HNO" hidden="1">#REF!</definedName>
    <definedName name="BExB0OASZZC08FMDYX9HRSM9OXEF" hidden="1">#REF!</definedName>
    <definedName name="BExB0WE4PI3NOBXXVO9CTEN4DIU2" hidden="1">#REF!</definedName>
    <definedName name="BExB10QNIVITUYS55OAEKK3VLJFE" hidden="1">#REF!</definedName>
    <definedName name="BExB12OPX4FIWY3UUQ7N9MXBTXY2" hidden="1">#REF!</definedName>
    <definedName name="BExB12ZHTPYICL0A8RA5MRDZPYAX" hidden="1">#REF!</definedName>
    <definedName name="BExB15ZDRY4CIJ911DONP0KCY9KU" hidden="1">#REF!</definedName>
    <definedName name="BExB16VQY0O0RLZYJFU3OFEONVTE" hidden="1">#REF!</definedName>
    <definedName name="BExB1D6DDDMV7AOB9S4XD45OPKJ3" hidden="1">#REF!</definedName>
    <definedName name="BExB1FKN9YUYJ7B8ZJSMRSJ6ONT6" hidden="1">#REF!</definedName>
    <definedName name="BExB1FKNY2UO4W5FUGFHJOA2WFGG" hidden="1">#REF!</definedName>
    <definedName name="BExB1GMD0PIDGTFBGQOPRWQSP9I4" hidden="1">#REF!</definedName>
    <definedName name="BExB1HIQKUZGEBQ2MPH0TPTAZKIT" hidden="1">#REF!</definedName>
    <definedName name="BExB1I4BK3AB6GEEFY7ZAOON31BO" hidden="1">#REF!</definedName>
    <definedName name="BExB1K7ZC5T8VJHFV4HDDH0V7AK2" hidden="1">#REF!</definedName>
    <definedName name="BExB1L9OX5126P8W4FRPP6IAX358" hidden="1">#REF!</definedName>
    <definedName name="BExB1Q29OO6LNFNT1EQLA3KYE7MX" hidden="1">#REF!</definedName>
    <definedName name="BExB1TNRV5EBWZEHYLHI76T0FVA7" hidden="1">#REF!</definedName>
    <definedName name="BExB1UENFKIO27UN311RA6Q7UZX5" hidden="1">#REF!</definedName>
    <definedName name="BExB1WI6M8I0EEP1ANUQZCFY24EV" hidden="1">#REF!</definedName>
    <definedName name="BExB203OWC9QZA3BYOKQ18L4FUJE" hidden="1">#REF!</definedName>
    <definedName name="BExB2276UU5ODII875V5A0HR9BCU" hidden="1">#REF!</definedName>
    <definedName name="BExB25SOKGK9KEZVH6Y88RAODSAD" hidden="1">#REF!</definedName>
    <definedName name="BExB29E52RMLBY6M59VIJRWVN9VW" hidden="1">#REF!</definedName>
    <definedName name="BExB2CJHTU7C591BR4WRL5L2F2K6" hidden="1">#REF!</definedName>
    <definedName name="BExB2K1AV4PGNS1O6C7D7AO411AX" hidden="1">#REF!</definedName>
    <definedName name="BExB2KBVZLAIYSZK886JWW75VFGC" hidden="1">#REF!</definedName>
    <definedName name="BExB2O2UYHKI324YE324E1N7FVIB" hidden="1">#REF!</definedName>
    <definedName name="BExB2Q0VJ0MU2URO3JOVUAVHEI3V" hidden="1">#REF!</definedName>
    <definedName name="BExB2V4G4W3DIHZU05TOOTUR2SQF" hidden="1">#REF!</definedName>
    <definedName name="BExB2ZBE4HYTK6ZWODNTE80U8M68" hidden="1">#REF!</definedName>
    <definedName name="BExB30IP1DNKNQ6PZ5ERUGR5MK4Z" hidden="1">#REF!</definedName>
    <definedName name="BExB35M4M9VQF0DHGYBEA3KV711P" hidden="1">#REF!</definedName>
    <definedName name="BExB406HXCZGNSDPPO8VOG1110ZG" hidden="1">#REF!</definedName>
    <definedName name="BExB442RX0T3L6HUL6X5T21CENW6" hidden="1">#REF!</definedName>
    <definedName name="BExB4ADD0L7417CII901XTFKXD1J" hidden="1">#REF!</definedName>
    <definedName name="BExB4AO4XTSNADQCYOZLOMAXLQ64" hidden="1">#REF!</definedName>
    <definedName name="BExB4B9PTN6T4CSKH6U5OZ3JFDD8" hidden="1">#REF!</definedName>
    <definedName name="BExB4DYU06HCGRIPBSWRCXK804UM" hidden="1">#REF!</definedName>
    <definedName name="BExB4R5JZFW6A1CMY56N51JV2U9K" hidden="1">#REF!</definedName>
    <definedName name="BExB4Z3EZBGYYI33U0KQ8NEIH8PY" hidden="1">#REF!</definedName>
    <definedName name="BExB541CBB1D8CTY30SOY75V64NO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OVBBWEF8CP3JLY7ZW5EILNZ" hidden="1">#REF!</definedName>
    <definedName name="BExB5QO30WI9WES28Y2RINNXRHWC" hidden="1">#REF!</definedName>
    <definedName name="BExB5QYVEZWFE5DQVHAM760EV05X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6UOT9PQAXC4WDJPHN5GQRB1" hidden="1">#REF!</definedName>
    <definedName name="BExB68I4C41Z71X98XSHY5P0WJV9" hidden="1">#REF!</definedName>
    <definedName name="BExB6BCJNOK9RZKJQY3M670Y0YIA" hidden="1">#REF!</definedName>
    <definedName name="BExB6C3FUAKK9ML5T767NMWGA9YB" hidden="1">#REF!</definedName>
    <definedName name="BExB6C8X6JYRLKZKK17VE3QUNL3D" hidden="1">#REF!</definedName>
    <definedName name="BExB6CZTE0PWILZ6X0SQ2FCCSK0D" hidden="1">#REF!</definedName>
    <definedName name="BExB6FE3H0CSOLB2YC9FYRLM255O" hidden="1">#REF!</definedName>
    <definedName name="BExB6GFZAX9GRL751RYUGG5BUQJ4" hidden="1">#REF!</definedName>
    <definedName name="BExB6HN3QRFPXM71MDUK21BKM7PF" hidden="1">#REF!</definedName>
    <definedName name="BExB6IZMHCZ3LB7N73KD90YB1HBZ" hidden="1">#REF!</definedName>
    <definedName name="BExB6Q6JKBMO3M4WX8XUD0JET6HB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KV6VUZIO35BMTEDFNRRYGQ9" hidden="1">#REF!</definedName>
    <definedName name="BExB8QPH8DC5BESEVPSMBCWVN6PO" hidden="1">#REF!</definedName>
    <definedName name="BExB8U5N0D85YR8APKN3PPKG0FWP" hidden="1">#REF!</definedName>
    <definedName name="BExB96G100OKWM2BWVOGKF2VEG9N" hidden="1">#REF!</definedName>
    <definedName name="BExB9DHI5I2TJ2LXYPM98EE81L27" hidden="1">#REF!</definedName>
    <definedName name="BExB9GXNR3I35XKRN3DODYLK6GCX" hidden="1">#REF!</definedName>
    <definedName name="BExB9I4N2BT8Z0LCC3TT8368S0CA" hidden="1">#REF!</definedName>
    <definedName name="BExB9Q2MZZHBGW8QQKVEYIMJBPIE" hidden="1">#REF!</definedName>
    <definedName name="BExB9S66MFUL9J891R547MSVIVV1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GQYIBV77JKN346FU4VT1MB4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26BLQY8G603CYPMT1H89I77" hidden="1">#REF!</definedName>
    <definedName name="BExBB9D9GNURCRZN3NR6UY375OX5" hidden="1">#REF!</definedName>
    <definedName name="BExBBUCJQRR74Q7GPWDEZXYK2KJL" hidden="1">#REF!</definedName>
    <definedName name="BExBBV8XVMD9CKZY711T0BN7H3PM" hidden="1">#REF!</definedName>
    <definedName name="BExBBWLF5Q9OKTIBYNCA1WTX3EDD" hidden="1">#REF!</definedName>
    <definedName name="BExBC1OSZW5V6QX0Z3DUD9G20YH9" hidden="1">#REF!</definedName>
    <definedName name="BExBC6S9JZS9ZX6V7SBKDJ5R3CGN" hidden="1">#REF!</definedName>
    <definedName name="BExBC78HXWXHO3XAB6E8NVTBGLJS" hidden="1">#REF!</definedName>
    <definedName name="BExBCDTV7GTBOTIE9EFJ36EX4FKM" hidden="1">#REF!</definedName>
    <definedName name="BExBCK4H2CF3XDL7AH3W254CWF4R" hidden="1">#REF!</definedName>
    <definedName name="BExBCKKJTIRKC1RZJRTK65HHLX4W" hidden="1">#REF!</definedName>
    <definedName name="BExBCLMEPAN3XXX174TU8SS0627Q" hidden="1">#REF!</definedName>
    <definedName name="BExBCMTEH63P6H1CKWQH2DGVNSVX" hidden="1">#REF!</definedName>
    <definedName name="BExBCRBEYR2KZ8FAQFZ2NHY13WIY" hidden="1">#REF!</definedName>
    <definedName name="BExBCUWQ155GHOA4U06R9PSAP8AB" hidden="1">#REF!</definedName>
    <definedName name="BExBCWUY2K7NN6G89YO7AZGM0BIX" hidden="1">#REF!</definedName>
    <definedName name="BExBCZUU1UR90PQUCOSYNFQQTXI1" hidden="1">#REF!</definedName>
    <definedName name="BExBD1CR31JE4TBZEMZ6ZNRFIDNP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TDIHS3IA85P49E3FM64KE4B" hidden="1">#REF!</definedName>
    <definedName name="BExBDUVGK3E1J4JY9ZYTS7V14BLY" hidden="1">#REF!</definedName>
    <definedName name="BExBDWDG2GXBTEGBOQMQLB38QUEV" hidden="1">#REF!</definedName>
    <definedName name="BExBDZITI2UCDSH0V24NITQG9SFA" hidden="1">#REF!</definedName>
    <definedName name="BExBE162OSBKD30I7T1DKKPT3I9I" hidden="1">#REF!</definedName>
    <definedName name="BExBE4M6YL512JJD7QCT5NHC893P" hidden="1">#REF!</definedName>
    <definedName name="BExBEJR0W7MKT48DBVBTGDSL2VF9" hidden="1">#REF!</definedName>
    <definedName name="BExBEY4YAF95YECQF0UMTDTCF6TE" hidden="1">#REF!</definedName>
    <definedName name="BExBEYFQJE9YK12A6JBMRFKEC7RN" hidden="1">#REF!</definedName>
    <definedName name="BExBF0U1PNBWLGLVVPNYEZHKB0ON" hidden="1">#REF!</definedName>
    <definedName name="BExBF3TXJTJ52WTH5JS1IEEUKRWA" hidden="1">#REF!</definedName>
    <definedName name="BExBF44Q2LX9ZY4960X2CFPXD1YH" hidden="1">#REF!</definedName>
    <definedName name="BExBG1ED81J2O4A2S5F5Y3BPHMCR" hidden="1">#REF!</definedName>
    <definedName name="BExCRLIHS7466WFJ3RPIUGGXYESZ" hidden="1">#REF!</definedName>
    <definedName name="BExCRRIBGG57IJ1DUG0GCSPL72DO" hidden="1">#REF!</definedName>
    <definedName name="BExCS078RE3CUATM8A8NCC0WWHGC" hidden="1">#REF!</definedName>
    <definedName name="BExCS1EDDUEAEWHVYXHIP9I1WCJH" hidden="1">#REF!</definedName>
    <definedName name="BExCS1EDW6Z6N9HX3XMJUGXPX7CS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GZG9G2SOKYYBCQF48XUIYCJ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95OCRFVTSHMPTQ96ZSMQ1LQ" hidden="1">#REF!</definedName>
    <definedName name="BExCTACSZ7QJIY3F2CRVX0638GFA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16FAFHSYEENQXBNLERR7V3K" hidden="1">#REF!</definedName>
    <definedName name="BExCU2834920JBHSPCRC4UF80OLL" hidden="1">#REF!</definedName>
    <definedName name="BExCU4XE0D50GNO1R4UI412F5XKO" hidden="1">#REF!</definedName>
    <definedName name="BExCU8O54I3P3WRYWY1CRP3S78QY" hidden="1">#REF!</definedName>
    <definedName name="BExCUD60H1UMM2E28QIX022PMAO3" hidden="1">#REF!</definedName>
    <definedName name="BExCUDRJO23YOKT8GPWOVQ4XEHF5" hidden="1">#REF!</definedName>
    <definedName name="BExCUPAWHM0P4BSKFZ5SJKV1ERM7" hidden="1">#REF!</definedName>
    <definedName name="BExCUPAXFR16YMWL30ME3F3BSRDZ" hidden="1">#REF!</definedName>
    <definedName name="BExCUR94DHCE47PUUWEMT5QZOYR2" hidden="1">#REF!</definedName>
    <definedName name="BExCUW1Q2AR1JX2Z1B9CGJ6H60GY" hidden="1">#REF!</definedName>
    <definedName name="BExCUW1RF5RHW7OK9J4GFUGR30IK" hidden="1">#REF!</definedName>
    <definedName name="BExCUWCILATYE77XVLWCTFD3ZYLR" hidden="1">#REF!</definedName>
    <definedName name="BExCVBS4OHGZRD2A9SPJKAEE0UHU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KH0KFLY4D0IVRFGVTJYRXFX" hidden="1">#REF!</definedName>
    <definedName name="BExCVV44WY5807WGMTGKPW0GT256" hidden="1">#REF!</definedName>
    <definedName name="BExCVWLXVAKW0MGL9EAXK4DRRB6T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WX69ER7R6C6VGOZAPRGXJR2R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AYLA3TMOHIRCEXCXXUSNOKZ" hidden="1">#REF!</definedName>
    <definedName name="BExCXBPG9M8FO11EVT02VNMWX534" hidden="1">#REF!</definedName>
    <definedName name="BExCXC0EIRZGKHGFWVH6BZGZKSL5" hidden="1">#REF!</definedName>
    <definedName name="BExCXN8YI8EPYEODGP1GZRPPYVF9" hidden="1">#REF!</definedName>
    <definedName name="BExCXQUFBMXQ1650735H48B1AZT3" hidden="1">#REF!</definedName>
    <definedName name="BExCXZ8JDBYZRBXEMLMTVEQ99X30" hidden="1">#REF!</definedName>
    <definedName name="BExCY1MUJ5NG8B3JJSLRIXXHRJJF" hidden="1">#REF!</definedName>
    <definedName name="BExCY2DQO9VLA77Q7EG3T0XNXX4F" hidden="1">#REF!</definedName>
    <definedName name="BExCY4H9JMPB090TG2SILY28IPCR" hidden="1">#REF!</definedName>
    <definedName name="BExCY6VMJ68MX3C981R5Q0BX5791" hidden="1">#REF!</definedName>
    <definedName name="BExCYAH2SAZCPW6XCB7V7PMMCAWO" hidden="1">#REF!</definedName>
    <definedName name="BExCYB80BS10IH6R77ZCG0BIUE2I" hidden="1">#REF!</definedName>
    <definedName name="BExCYK7MZ56O5XIV8T5XIE9VBQXN" hidden="1">#REF!</definedName>
    <definedName name="BExCYPRC5HJE6N2XQTHCT6NXGP8N" hidden="1">#REF!</definedName>
    <definedName name="BExCYUK0I3UEXZNFDW71G6Z6D8XR" hidden="1">#REF!</definedName>
    <definedName name="BExCZ9DZCZB5183NRQBFD9N0N421" hidden="1">#REF!</definedName>
    <definedName name="BExCZBHJ4ZDFD4N4ZS7VAL7FA7P7" hidden="1">#REF!</definedName>
    <definedName name="BExCZFZCXMLY5DWESYJ9NGTJYQ8M" hidden="1">#REF!</definedName>
    <definedName name="BExCZGA5GUD86GXZ4B8GPNA160HI" hidden="1">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CZV9MSIPSA342JQ2EA3VWK4OE" hidden="1">#REF!</definedName>
    <definedName name="BExCZYKBVIFOINGR6LQCMW1VLKY8" hidden="1">#REF!</definedName>
    <definedName name="BExCZZ5VU98E1RK8AP5OUZJ077YT" hidden="1">#REF!</definedName>
    <definedName name="BExD06SXR2OPV4282WTX6ARRQ4JS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0WQ71JYMUDXQTQEITA6DXV3F" hidden="1">#REF!</definedName>
    <definedName name="BExD13RUIBGRXDL4QDZ305UKUR12" hidden="1">#REF!</definedName>
    <definedName name="BExD14DETV5R4OOTMAXD5NAKWRO3" hidden="1">#REF!</definedName>
    <definedName name="BExD189NLCZ0MV1E8GXPW23W160D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GBKX4AMK7ZAX2DG57PRAA52" hidden="1">#REF!</definedName>
    <definedName name="BExD2HTPC7IWBAU6OSQ67MQA8BYZ" hidden="1">#REF!</definedName>
    <definedName name="BExD2MRMSOCW29ZLJ226FVCE2K34" hidden="1">#REF!</definedName>
    <definedName name="BExD2RK9LE7I985N677G3WNH5DIV" hidden="1">#REF!</definedName>
    <definedName name="BExD2SLX8LN5ZMJYS625EF1HO7BR" hidden="1">#REF!</definedName>
    <definedName name="BExD363H2VGFIQUCE6LS4AC5J0ZT" hidden="1">#REF!</definedName>
    <definedName name="BExD37W7YUULHO5DGYRP7KYM65NC" hidden="1">#REF!</definedName>
    <definedName name="BExD38Y1QAY7B0XT3HXZYEXQXWGE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PKTT0MHJPK56ADYPFIYXKO7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3T8H92CE1JYX4SJBEP7MEZZ" hidden="1">#REF!</definedName>
    <definedName name="BExD4B5OJKUPJMFR7AZJGR6UVR3E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QL8ER0UXZF5PR9SNT85IHX5" hidden="1">#REF!</definedName>
    <definedName name="BExD4R1I0MKF033I5LPUYIMTZ6E8" hidden="1">#REF!</definedName>
    <definedName name="BExD4RHMHOHG2WM6HI950PSP13F8" hidden="1">#REF!</definedName>
    <definedName name="BExD4Y8B802VY7DVV7WECOAUMSMN" hidden="1">#REF!</definedName>
    <definedName name="BExD50MT3M6XZLNUP9JL93EG6D9R" hidden="1">#REF!</definedName>
    <definedName name="BExD5EV7KDSVF1CJT38M4IBPFLPY" hidden="1">#REF!</definedName>
    <definedName name="BExD5GD6SIMWMN840LDKLR5DYOAM" hidden="1">#REF!</definedName>
    <definedName name="BExD5I5X2YA2YNCTCDSMEL4CWF4N" hidden="1">#REF!</definedName>
    <definedName name="BExD5MCXFY6EBOB2PWT77V3W8SUA" hidden="1">#REF!</definedName>
    <definedName name="BExD5P7D7B3TCMJQY4TM56KCPB73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4XWSCCF7VM2L3F2XZEKL3C1" hidden="1">#REF!</definedName>
    <definedName name="BExD6BZF6UGC8YXEZJ8URJDY0HUJ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6XV0BDU8LPQPWSKHU0XX0UPR" hidden="1">#REF!</definedName>
    <definedName name="BExD73USXVADC7EHGHVTQNCT06ZA" hidden="1">#REF!</definedName>
    <definedName name="BExD7CE8ZR0EL3ZQP0AYQ5XQUH9L" hidden="1">#REF!</definedName>
    <definedName name="BExD7GAIGULTB3YHM1OS9RBQOTEC" hidden="1">#REF!</definedName>
    <definedName name="BExD7GAIHX094KROB46WFTL2XBWL" hidden="1">#REF!</definedName>
    <definedName name="BExD7IE1DHIS52UFDCTSKPJQNRD5" hidden="1">#REF!</definedName>
    <definedName name="BExD7IUBGUWHYC9UNZ1IY5XFYKQN" hidden="1">#REF!</definedName>
    <definedName name="BExD7IZMKM0QIFE7EV1NYL6EZVJZ" hidden="1">#REF!</definedName>
    <definedName name="BExD7JQOJ35HGL8U2OCEI2P2JT7I" hidden="1">#REF!</definedName>
    <definedName name="BExD7KSDKNDNH95NDT3S7GM3MUU2" hidden="1">#REF!</definedName>
    <definedName name="BExD7SVOH5J3ZVHK9KI2N1XE0CC3" hidden="1">#REF!</definedName>
    <definedName name="BExD7U2VBENHGLEM0JRF2S4PYD79" hidden="1">#REF!</definedName>
    <definedName name="BExD7V4PCVR1ACVPOJXKJ4CSROIX" hidden="1">#REF!</definedName>
    <definedName name="BExD8CYKX2WGEDSW6KFP6MND1PM0" hidden="1">#REF!</definedName>
    <definedName name="BExD8H5O087KQVWIVPUUID5VMGMS" hidden="1">#REF!</definedName>
    <definedName name="BExD8KWFYVMYYY2YJ34JT4QNLLTE" hidden="1">#REF!</definedName>
    <definedName name="BExD8OCLZMFN5K3VZYI4Q4ITVKUA" hidden="1">#REF!</definedName>
    <definedName name="BExD8S3CWPY57XYDKMWHV21VWAMI" hidden="1">#REF!</definedName>
    <definedName name="BExD8XXVHUW06O8S7BAXEK8KC0C5" hidden="1">#REF!</definedName>
    <definedName name="BExD93C1R6LC0631ECHVFYH0R0PD" hidden="1">#REF!</definedName>
    <definedName name="BExD94J8GQPBM3H2KZR5CYEDXC2O" hidden="1">#REF!</definedName>
    <definedName name="BExD94OKCG2JBU2BZ8FZLC51IHYK" hidden="1">#REF!</definedName>
    <definedName name="BExD97TXIO0COVNN4OH3DEJ33YLM" hidden="1">#REF!</definedName>
    <definedName name="BExD99RZ1RFIMK6O1ZHSPJ68X9Y5" hidden="1">#REF!</definedName>
    <definedName name="BExD9DO8S1B4VRRR02OH735O9IAK" hidden="1">#REF!</definedName>
    <definedName name="BExD9IMBI0P6S6QRAXHE26HMK86D" hidden="1">#REF!</definedName>
    <definedName name="BExD9L0HY66SUKJL9CI15Z4KHGBS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9WJZ80BEOV6G7I7J9BNBZP4J" hidden="1">#REF!</definedName>
    <definedName name="BExDA6LD9061UULVKUUI4QP8SK13" hidden="1">#REF!</definedName>
    <definedName name="BExDAGMVMNLQ6QXASB9R6D8DIT12" hidden="1">#REF!</definedName>
    <definedName name="BExDALQANPFHTHVPCRRIU0I4N46D" hidden="1">#REF!</definedName>
    <definedName name="BExDAYBHU9ADLXI8VRC7F608RVGM" hidden="1">#REF!</definedName>
    <definedName name="BExDB39GNDHCPPB7U2PZQO5TJ1OI" hidden="1">#REF!</definedName>
    <definedName name="BExDBDR1XR0FV0CYUCB2OJ7CJCZU" hidden="1">#REF!</definedName>
    <definedName name="BExDBECNFJKO0HIOIKTWDCSWP755" hidden="1">#REF!</definedName>
    <definedName name="BExDBI8WRY61SHXKAT4UFXLB15E8" hidden="1">#REF!</definedName>
    <definedName name="BExDBK1MY45PCU41K2MOXISSQSRK" hidden="1">#REF!</definedName>
    <definedName name="BExDBZBW3EHQF6J0XXIT3ZMXPL8C" hidden="1">#REF!</definedName>
    <definedName name="BExDC7F818VN0S18ID7XRCRVYPJ4" hidden="1">#REF!</definedName>
    <definedName name="BExDCL7K96PC9VZYB70ZW3QPVIJE" hidden="1">#REF!</definedName>
    <definedName name="BExDCM3WITOI0PSWTVNKFGV5MTLL" hidden="1">#REF!</definedName>
    <definedName name="BExDCP3UZ3C2O4C1F7KMU0Z9U32N" hidden="1">#REF!</definedName>
    <definedName name="BExENRJDC2MGQRJ6EHLAWX5I4SRS" hidden="1">#REF!</definedName>
    <definedName name="BExEO4Q4ULHNOLJWA37GES0OVTQC" hidden="1">#REF!</definedName>
    <definedName name="BExEOBX3WECDMYCV9RLN49APTXMM" hidden="1">#REF!</definedName>
    <definedName name="BExEP43CPQT1LBIP6NUHXW4V3S9X" hidden="1">#REF!</definedName>
    <definedName name="BExEP7388TKNL6FEJW00XN7FHEUG" hidden="1">#REF!</definedName>
    <definedName name="BExEPN9VIYI0FVL0HLZQXJFO6TT0" hidden="1">#REF!</definedName>
    <definedName name="BExEPYT6VDSMR8MU2341Q5GM2Y9V" hidden="1">#REF!</definedName>
    <definedName name="BExEQ0RE7U3SK9I5N5WFZUK3EZW7" hidden="1">#REF!</definedName>
    <definedName name="BExEQ1T2IIIQMW69DKZ87VPSNFVW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7I2G8GOAS5SSLPAQIT3QKCV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DY4ES1YCGVBIB9BF5D733OI" hidden="1">#REF!</definedName>
    <definedName name="BExEQFLE2RPWGMWQAI4JMKUEFRPT" hidden="1">#REF!</definedName>
    <definedName name="BExEQL4Y84R2VO1P1PJ92TAZZHUJ" hidden="1">#REF!</definedName>
    <definedName name="BExEQTZAP8R69U31W4LKGTKKGKQE" hidden="1">#REF!</definedName>
    <definedName name="BExER4GWX48WNNW7PR5LTLIKY6DK" hidden="1">#REF!</definedName>
    <definedName name="BExERCETL5ZVXSS6EENB85QCSRYG" hidden="1">#REF!</definedName>
    <definedName name="BExERIUTB21WQ9WVQXUCDCGSH23E" hidden="1">#REF!</definedName>
    <definedName name="BExERRUIKIOATPZ9U4HQ0V52RJAU" hidden="1">#REF!</definedName>
    <definedName name="BExERSLFEDXNMOLAZ2VOI6VVJCBW" hidden="1">#REF!</definedName>
    <definedName name="BExERWCEBKQRYWRQLYJ4UCMMKTHG" hidden="1">[4]Table!#REF!</definedName>
    <definedName name="BExERWSHS5678NWP0NM8J09K2OGY" hidden="1">#REF!</definedName>
    <definedName name="BExES44RHHDL3V7FLV6M20834WF1" hidden="1">#REF!</definedName>
    <definedName name="BExES4A7VE2X3RYYTVRLKZD4I7WU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HQDTTO2RTDKR7UPAY0J0LKT" hidden="1">#REF!</definedName>
    <definedName name="BExETIBYG93GLA7JGNQT6HUMFZMZ" hidden="1">#REF!</definedName>
    <definedName name="BExETQ9XRXLUACN82805SPSPNKHI" hidden="1">#REF!</definedName>
    <definedName name="BExETQFFLH766OHX0PD3NEIK0DIF" hidden="1">#REF!</definedName>
    <definedName name="BExETR0YRMOR63E6DHLEHV9QVVON" hidden="1">#REF!</definedName>
    <definedName name="BExETVDCXGPYA4OP2UI1URTJ60TK" hidden="1">#REF!</definedName>
    <definedName name="BExETVTGY38YXYYF7N73OYN6FYY3" hidden="1">#REF!</definedName>
    <definedName name="BExEU0612TW91LLZ7EJDXDCXN68D" hidden="1">#REF!</definedName>
    <definedName name="BExEUM6YMWZZQTCPRXVEK8SXKSZ5" hidden="1">#REF!</definedName>
    <definedName name="BExEUNE4T242Y59C6MS28MXEUGCP" hidden="1">#REF!</definedName>
    <definedName name="BExEUQJB3XW9LMC10MF8KI6PWQOF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AM8BLTWVS6IMVJWDOZBQK9R" hidden="1">#REF!</definedName>
    <definedName name="BExEVB7TH0VLFR0T7IVN46BDU2AI" hidden="1">#REF!</definedName>
    <definedName name="BExEVET98G3FU6QBF9LHYWSAMV0O" hidden="1">#REF!</definedName>
    <definedName name="BExEVL3UZ22W55ZRF3F0J21PKQLX" hidden="1">#REF!</definedName>
    <definedName name="BExEVNCUT0PDUYNJH7G6BSEWZOT2" hidden="1">#REF!</definedName>
    <definedName name="BExEVNYH9SZIMV474BSSMICAWVAH" hidden="1">#REF!</definedName>
    <definedName name="BExEVPGF4V5J0WQRZKUM8F9TTKZJ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357VV6LVZCWOOM0R3T78QK" hidden="1">#REF!</definedName>
    <definedName name="BExEW68M9WL8214QH9C7VCK7BN08" hidden="1">#REF!</definedName>
    <definedName name="BExEW8HFKH6F47KIHYBDRUEFZ2ZZ" hidden="1">#REF!</definedName>
    <definedName name="BExEWFDNNTI0JICGYU9XFVKHCDFU" hidden="1">#REF!</definedName>
    <definedName name="BExEWHXF5F2E8FN7TRI5U2ZY0T0P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WZB1WRDDH94A8HIPDIB7MQ4X" hidden="1">#REF!</definedName>
    <definedName name="BExEX1K0YRR3BVOWDTPQ6UHEUT0S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RBZ0DI9E2UFLLKYWGN66B61" hidden="1">#REF!</definedName>
    <definedName name="BExEXVZ4IR2DJ9NCVWEGX0D6AQVW" hidden="1">#REF!</definedName>
    <definedName name="BExEY067KMBNYP9WMRGOH8ITDBLD" hidden="1">#REF!</definedName>
    <definedName name="BExEY24DIPW7DULG3XE80FN391S0" hidden="1">#REF!</definedName>
    <definedName name="BExEYGCSYH6XC1X89ZT8VJVQ6THP" hidden="1">#REF!</definedName>
    <definedName name="BExEYH96ZWVYG9XNTVTY6XON522K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YVHM7COM2XBAZH71USCAT6K9" hidden="1">#REF!</definedName>
    <definedName name="BExEYW8O56SE67A8CIT413PPQFWN" hidden="1">#REF!</definedName>
    <definedName name="BExEYXQGOT90CC2QXVUDAMIS2SD6" hidden="1">#REF!</definedName>
    <definedName name="BExEYY17N22FDMK6IA4HQRCTNPYL" hidden="1">#REF!</definedName>
    <definedName name="BExEZ1S6VZCG01ZPLBSS9Z1SBOJ2" hidden="1">#REF!</definedName>
    <definedName name="BExEZ8ODD2OYUD2JJ3KXPDEE8NRV" hidden="1">#REF!</definedName>
    <definedName name="BExEZFPZKLS4GGKV39NX0GL8AK7B" hidden="1">#REF!</definedName>
    <definedName name="BExEZGBFNJR8DLPN0V11AU22L6WY" hidden="1">#REF!</definedName>
    <definedName name="BExEZQYJW81F362CWKW5HLAAM45I" hidden="1">#REF!</definedName>
    <definedName name="BExEZSWLMZZ2RK34GSJ9Q3NPCFT2" hidden="1">#REF!</definedName>
    <definedName name="BExEZU9747U27WLBD5J4HMQZ9FBF" hidden="1">#REF!</definedName>
    <definedName name="BExF02Y3V3QEPO2XLDSK47APK9XJ" hidden="1">#REF!</definedName>
    <definedName name="BExF09OS91RT7N7IW8JLMZ121ZP3" hidden="1">#REF!</definedName>
    <definedName name="BExF0LOEHV42P2DV7QL8O7HOQ3N9" hidden="1">#REF!</definedName>
    <definedName name="BExF0QH116YF95UAL83HSM0C2X7Y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FSO1XDL0XGMZN0P2EJ2SD8M" hidden="1">#REF!</definedName>
    <definedName name="BExF1J8U215K2MP1W9U0E6PXAC24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00VK438ANZMJEAPZ2RQDB8U" hidden="1">#REF!</definedName>
    <definedName name="BExF21OBXGVA9D1CPMHVJHL599BC" hidden="1">#REF!</definedName>
    <definedName name="BExF27IN8RAX7BR215LL6PSJIC40" hidden="1">#REF!</definedName>
    <definedName name="BExF28PXA9VBW4OZ74OITX6LHR12" hidden="1">#REF!</definedName>
    <definedName name="BExF2CWZN6E87RGTBMD4YQI2QT7R" hidden="1">#REF!</definedName>
    <definedName name="BExF2DYO1WQ7GMXSTAQRDBW1NSFG" hidden="1">#REF!</definedName>
    <definedName name="BExF2K9959EZKTU2Z6K38A4O9FVB" hidden="1">#REF!</definedName>
    <definedName name="BExF2LR83KWDOSK9ACAROCGMTQ8X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AS2T7GFVNU9JPBXWUQH845Y" hidden="1">#REF!</definedName>
    <definedName name="BExF3GBMLCA5ZT2251N0N3CRN11O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3RET913530OJZJYWUA4LCSLF" hidden="1">#REF!</definedName>
    <definedName name="BExF3XESUWMQ9EBGSMAB59VGA7FN" hidden="1">#REF!</definedName>
    <definedName name="BExF3YLXBDVFR77V26NTIP0XMQJE" hidden="1">#REF!</definedName>
    <definedName name="BExF42SSBVPMLK2UB3B7FPEIY9TU" hidden="1">#REF!</definedName>
    <definedName name="BExF4B6XIBX29OTXQEUDFTZLCDHY" hidden="1">#REF!</definedName>
    <definedName name="BExF4HXSWB50BKYPWA0HTT8W56H6" hidden="1">#REF!</definedName>
    <definedName name="BExF4KHF04IWW4LQ95FHQPFE4Y9K" hidden="1">#REF!</definedName>
    <definedName name="BExF4MVQ95EMJHE126KESZBYN0JH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52GTGP8MHGII4KJ8TJGR8W8U" hidden="1">#REF!</definedName>
    <definedName name="BExF57K7L3UC1I2FSAWURR4SN0UN" hidden="1">#REF!</definedName>
    <definedName name="BExF5FSUMX0XKTLS2SVRKDIM9KWW" hidden="1">#REF!</definedName>
    <definedName name="BExF5HR2GFV7O8LKG9SJ4BY78LYA" hidden="1">#REF!</definedName>
    <definedName name="BExF5TADVUP4V2WZ41VE1F3VZOAK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BF2SX9HK5LNDKNY27T63T95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JNWE4H8L694Y8Z1VCZ9EMVP" hidden="1">#REF!</definedName>
    <definedName name="BExF6N9BI2S6XG0AZGP3KGHJO3SG" hidden="1">#REF!</definedName>
    <definedName name="BExF6NUXJI11W2IAZNAM1QWC0459" hidden="1">#REF!</definedName>
    <definedName name="BExF6RR76KNVIXGJOVFO8GDILKGZ" hidden="1">#REF!</definedName>
    <definedName name="BExF6ZE8D5CMPJPRWT6S4HM56LPF" hidden="1">#REF!</definedName>
    <definedName name="BExF71SL7S5BDGRZ694893ZZ2ZTI" hidden="1">#REF!</definedName>
    <definedName name="BExF76FV8SF7AJK7B35AL7VTZF6D" hidden="1">#REF!</definedName>
    <definedName name="BExF7EOIMC1OYL1N7835KGOI0FIZ" hidden="1">#REF!</definedName>
    <definedName name="BExF7FVNFEHQQH5MIO6AIUWSERR7" hidden="1">#REF!</definedName>
    <definedName name="BExF7G1668DJD4V21NJJ3OGB98XB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7RV9JQHNUU59Z7TLWW2ARAN8" hidden="1">#REF!</definedName>
    <definedName name="BExF81GI8B8WBHXFTET68A9358BR" hidden="1">#REF!</definedName>
    <definedName name="BExF8Z0YWLCTL9B2F1O0171QSJNP" hidden="1">#REF!</definedName>
    <definedName name="BExF96TIPQA59NFF53IG28QFNR9F" hidden="1">#REF!</definedName>
    <definedName name="BExF9CTA0UGH0U2JUPUJKMEEI1Z2" hidden="1">#REF!</definedName>
    <definedName name="BExGKNC6UCNO0YTOPVJZMQ34IVMH" hidden="1">#REF!</definedName>
    <definedName name="BExGKT17Q7NLLXEVPD5JH5USNBZN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NAX5U2230HZRHSH9MV03JCO" hidden="1">#REF!</definedName>
    <definedName name="BExGLTARRL0J772UD2TXEYAVPY6E" hidden="1">#REF!</definedName>
    <definedName name="BExGLYE6RZTAAWHJBG2QFJPTDS2Q" hidden="1">#REF!</definedName>
    <definedName name="BExGLZAK2JOF0O3A9UUIGT1IO76I" hidden="1">#REF!</definedName>
    <definedName name="BExGM4DZ65OAQP7MA4LN6QMYZOFF" hidden="1">#REF!</definedName>
    <definedName name="BExGMCXCWEC9XNUOEMZ61TMI6CUO" hidden="1">#REF!</definedName>
    <definedName name="BExGMEFBL47KYW564WF1RQ6VY453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0LRKAPMAKXJTDAKS7Q1MV6S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GXWM22CY7SN990PUDF77Z0Q" hidden="1">#REF!</definedName>
    <definedName name="BExGNN2YQ9BDAZXT2GLCSAPXKIM7" hidden="1">#REF!</definedName>
    <definedName name="BExGNPBUQ4MFVXFVD9LJPL5PZU68" hidden="1">#REF!</definedName>
    <definedName name="BExGNQTS9G978DYY6KDP3J1QS6ZR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I3M84PCOV0FSX0APR834A9T" hidden="1">#REF!</definedName>
    <definedName name="BExGOROWSCEN1I6IXZVXWNFSY76K" hidden="1">#REF!</definedName>
    <definedName name="BExGOTMXNJJB8X3FGKT93TAUXXYV" hidden="1">#REF!</definedName>
    <definedName name="BExGOXJDHUDPDT8I8IVGVW9J0R5Q" hidden="1">#REF!</definedName>
    <definedName name="BExGP5S0TOKGDHYQTDOTSK5HCFUO" hidden="1">#REF!</definedName>
    <definedName name="BExGPB0QWZQYZ4O1B28QZMIZK4R5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C6MTX67DOH0IR4EMG2XPXUX" hidden="1">#REF!</definedName>
    <definedName name="BExGQGJ1A7LNZUS8QSMOG8UNGLMK" hidden="1">#REF!</definedName>
    <definedName name="BExGQJTQ36AWUSEYPCQNI9JE5KDL" hidden="1">#REF!</definedName>
    <definedName name="BExGQOX5SC3QE5GND2P8HAHC7ZN6" hidden="1">#REF!</definedName>
    <definedName name="BExGQP2M90PWKZU8RDMLC9SJN90J" hidden="1">#REF!</definedName>
    <definedName name="BExGQPO7ENFEQC0NC6MC9OZR2LHY" hidden="1">#REF!</definedName>
    <definedName name="BExGQRM9NCME1AQA8RNH8GRKBEY8" hidden="1">#REF!</definedName>
    <definedName name="BExGQX0H4EZMXBJTKJJE4ICJWN5O" hidden="1">#REF!</definedName>
    <definedName name="BExGR23WEFG8G3CHQC5Q2M1VP9Q0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HZROC86IFGNDBDWZNBH5Q2V" hidden="1">#REF!</definedName>
    <definedName name="BExGRU4NB8STZEYZQGBLBO9RE1W8" hidden="1">#REF!</definedName>
    <definedName name="BExGRUKVVKDL8483WI70VN2QZDGD" hidden="1">#REF!</definedName>
    <definedName name="BExGRWOG8H774BWL55XHDM510RIO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6DSG8ZPE8V41A2BLYDYCIXU" hidden="1">#REF!</definedName>
    <definedName name="BExGTGVFIF8HOQXR54SK065A8M4K" hidden="1">#REF!</definedName>
    <definedName name="BExGTIYX3OWPIINOGY1E4QQYSKHP" hidden="1">#REF!</definedName>
    <definedName name="BExGTJVBIZWELPUJ1O53JMEVLNE1" hidden="1">#REF!</definedName>
    <definedName name="BExGTKGUN0KUU3C0RL2LK98D8MEK" hidden="1">#REF!</definedName>
    <definedName name="BExGTONXUFJZ46ZIB10HWACFPN6J" hidden="1">#REF!</definedName>
    <definedName name="BExGTR7K40BFXY9FZW83JKEY9C77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QVJE1MV019H8EUN9O73RXA9" hidden="1">#REF!</definedName>
    <definedName name="BExGUR6BA03XPBK60SQUW197GJ5X" hidden="1">#REF!</definedName>
    <definedName name="BExGUS2PJRD6B23Y5YPYJ74UVFY3" hidden="1">#REF!</definedName>
    <definedName name="BExGUURTC7PJS6OWLNPP5LOKEQB3" hidden="1">#REF!</definedName>
    <definedName name="BExGUZKF06F209XL1IZWVJEQ82EE" hidden="1">#REF!</definedName>
    <definedName name="BExGV2EVT380QHD4AP2RL9MR8L5L" hidden="1">#REF!</definedName>
    <definedName name="BExGVEEG91G1M00U4TATQOVJH4JZ" hidden="1">#REF!</definedName>
    <definedName name="BExGVFWDKW8LO48OL2ZZUGFJFDDA" hidden="1">#REF!</definedName>
    <definedName name="BExGVV6OOLDQ3TXZK51TTF3YX0WN" hidden="1">#REF!</definedName>
    <definedName name="BExGW0KVOL93Z29HD7AAKNQ59I24" hidden="1">#REF!</definedName>
    <definedName name="BExGW2Z7AMPG6H9EXA9ML6EZVGGA" hidden="1">#REF!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453OMLZPGJF63K8PNB8EDJJ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KBM63SHLXB0JZ87BXSU1Y43" hidden="1">#REF!</definedName>
    <definedName name="BExGXQGVELUHEDSBNLEGTLOGNVS5" hidden="1">#REF!</definedName>
    <definedName name="BExGXU2CTZIGLSHFR401PYBQ1Q6G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HAGH0IZT9WAS43U752U84WI" hidden="1">#REF!</definedName>
    <definedName name="BExGYOS6TV2C72PLRFU8RP1I58GY" hidden="1">#REF!</definedName>
    <definedName name="BExGZ0MC1XT4VWABFT1UK2UMI0CP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GZSN96MC2HMMYQ3BMZ50490SJ" hidden="1">#REF!</definedName>
    <definedName name="BExGZYXS0GTA29TRAW6KAUBGG6D4" hidden="1">#REF!</definedName>
    <definedName name="BExH00L21GZX5YJJGVMOAWBERLP5" hidden="1">#REF!</definedName>
    <definedName name="BExH02ZD6VAY1KQLAQYBBI6WWIZB" hidden="1">#REF!</definedName>
    <definedName name="BExH07XC83E8WXF2O7EJTNS1DOZD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REOXDV1H5S0HUPAEDFBE9TO" hidden="1">#REF!</definedName>
    <definedName name="BExH0WNJAKTJRCKMTX8O4KNMIIJM" hidden="1">#REF!</definedName>
    <definedName name="BExH0Y5JGUO7Z6TD8HXAB8MDIXSA" hidden="1">#REF!</definedName>
    <definedName name="BExH0YGAH8C5QMW8ITQNBLYO8ILN" hidden="1">#REF!</definedName>
    <definedName name="BExH12Y4WX542WI3ZEM15AK4UM9J" hidden="1">#REF!</definedName>
    <definedName name="BExH1AFVY3DFB10LXJXXA05EU6X8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NRXNXU0WLQASP81I62087ON" hidden="1">#REF!</definedName>
    <definedName name="BExH1QMD1UU8X5NZERDZ7OIP3IBI" hidden="1">#REF!</definedName>
    <definedName name="BExH1Z0GIUSVTF2H1G1I3PDGBNK2" hidden="1">#REF!</definedName>
    <definedName name="BExH1ZRHSD93CERXYVJ0PQ9ZD4VJ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ZR49T7644JFVE7B3N7RZM9" hidden="1">#REF!</definedName>
    <definedName name="BExH2VU17ZSQ6UMFZ9FOP753TT9E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484A22LWJP90TK5PO16GMMQ" hidden="1">#REF!</definedName>
    <definedName name="BExH3BPW245WVGA1K1DGTL1XWDCH" hidden="1">#REF!</definedName>
    <definedName name="BExH3IRB6764RQ5HBYRLH6XCT29X" hidden="1">#REF!</definedName>
    <definedName name="BExH3JNPVYIZPSTZ2XO18SK1W1II" hidden="1">#REF!</definedName>
    <definedName name="BExH3O5K2H2CUPJV6PMS7RTLJCSV" hidden="1">#REF!</definedName>
    <definedName name="BExH4HTPYPQ91XIJ8IWIMHWOB0RA" hidden="1">#REF!</definedName>
    <definedName name="BExIG2U8V6RSB47SXLCQG3Q68YRO" hidden="1">#REF!</definedName>
    <definedName name="BExIG9FMY6OOSODNTWQJ2F28Y2FK" hidden="1">#REF!</definedName>
    <definedName name="BExIGJBO8R13LV7CZ7C1YCP974NN" hidden="1">#REF!</definedName>
    <definedName name="BExIGWT86FPOEYTI8GXCGU5Y3KGK" hidden="1">#REF!</definedName>
    <definedName name="BExIH51URLQJA6KNX5CJKIUIR5UQ" hidden="1">#REF!</definedName>
    <definedName name="BExIHBHXA7E7VUTBVHXXXCH3A5CL" hidden="1">#REF!</definedName>
    <definedName name="BExIHNMT9P59WY619GEWB1XONTAE" hidden="1">#REF!</definedName>
    <definedName name="BExIHNMTY8HBM7KQDSTMXEM6MHL4" hidden="1">#REF!</definedName>
    <definedName name="BExIHPL0OA9JV52MMK1PBGG1N004" hidden="1">#REF!</definedName>
    <definedName name="BExIHPQCQTGEW8QOJVIQ4VX0P6DX" hidden="1">#REF!</definedName>
    <definedName name="BExIHU2VSXTKRMO3RHJI6RZ206Q5" hidden="1">#REF!</definedName>
    <definedName name="BExIHZ6ALVREAYK4T741OOLGXOZA" hidden="1">#REF!</definedName>
    <definedName name="BExII1KN91Q7DLW0UB7W2TJ5ACT9" hidden="1">#REF!</definedName>
    <definedName name="BExII50LI8I0CDOOZEMIVHVA2V95" hidden="1">#REF!</definedName>
    <definedName name="BExIILSU51MU6FKEVZ24AJSBIWON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5KXX9XB2PK3G2ZO6ORIZNQC" hidden="1">#REF!</definedName>
    <definedName name="BExIJ8Q4WWPTKVONF0FPLTD4L7CH" hidden="1">#REF!</definedName>
    <definedName name="BExIJ9MI8QNCVF6L1SK4ZWC4CPJ7" hidden="1">#REF!</definedName>
    <definedName name="BExIJFGZJ5ED9D6KAY4PGQYLELAX" hidden="1">#REF!</definedName>
    <definedName name="BExIJK469HA706C9G6S0RTTG9JVO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JZP8AKK000EFDGK7KZ1YKRXT" hidden="1">#REF!</definedName>
    <definedName name="BExIKAMYWASLH4PA7OY8MTC1IS6B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45UAJTQCLO0PRR3OAT4FUN0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LX2Y7VZFEF3WLQRZ69WIPGBJ" hidden="1">#REF!</definedName>
    <definedName name="BExIM02UP3RCUWZ2RO86WO6595EZ" hidden="1">#REF!</definedName>
    <definedName name="BExIM9DBUB7ZGF4B20FVUO9QGOX2" hidden="1">#REF!</definedName>
    <definedName name="BExIMGK9Z94TFPWWZFMD10HV0IF6" hidden="1">#REF!</definedName>
    <definedName name="BExIMIT427CJSYOCFG8JGTIJC8EC" hidden="1">#REF!</definedName>
    <definedName name="BExIMPEGKG18TELVC33T4OQTNBWC" hidden="1">#REF!</definedName>
    <definedName name="BExIMTAR1TFV3DP2D7HWECJEOYUG" hidden="1">#REF!</definedName>
    <definedName name="BExIN3HKORQAQUS47CJM0UZ6P6QP" hidden="1">#REF!</definedName>
    <definedName name="BExIN4OR435DL1US13JQPOQK8GD5" hidden="1">#REF!</definedName>
    <definedName name="BExIN8FK0VJT3CRRWGRO3XE26YZS" hidden="1">#REF!</definedName>
    <definedName name="BExINI6A7H3KSFRFA6UBBDPKW37F" hidden="1">#REF!</definedName>
    <definedName name="BExINIMK8XC3JOBT2EXYFHHH52H0" hidden="1">#REF!</definedName>
    <definedName name="BExINJ7YZ0B60FJVN3U2DTH8TIW7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VT50DNQFXWZEBLEC0HIJDBS" hidden="1">#REF!</definedName>
    <definedName name="BExINYT1S9HTKX12F6T1MBDFL53T" hidden="1">#REF!</definedName>
    <definedName name="BExINZELVWYGU876QUUZCIMXPBQC" hidden="1">#REF!</definedName>
    <definedName name="BExIOCQUQHKUU1KONGSDOLQTQEIC" hidden="1">#REF!</definedName>
    <definedName name="BExIOEUDLMQULYKSXV94CO63QD9I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P3EYMLXYSYD644AIULVB4SM4" hidden="1">#REF!</definedName>
    <definedName name="BExIP57PVLYBDSEFSS3JRETK0B4U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CNG2M6L73ES2UQI5310WB7" hidden="1">#REF!</definedName>
    <definedName name="BExIPKNFUDPDKOSH5GHDVNA8D66S" hidden="1">#REF!</definedName>
    <definedName name="BExIPLJTRJRKOL7VVP0PEP05W0QL" hidden="1">#REF!</definedName>
    <definedName name="BExIPYFR9Q89IRAL0HPOES7623H9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CDFFALELXAMMR1ZQBGNV1HO" hidden="1">#REF!</definedName>
    <definedName name="BExIQCTILU1D6OD8XR0K44Z9OTI8" hidden="1">#REF!</definedName>
    <definedName name="BExIQE65LVXUOF3UZFO7SDHFJH22" hidden="1">#REF!</definedName>
    <definedName name="BExIQG9OO2KKBOWTMD1OXY36TEGA" hidden="1">#REF!</definedName>
    <definedName name="BExIQIII4MABGPDVFEBH294F5JBS" hidden="1">#REF!</definedName>
    <definedName name="BExIQITB1HMVZ06UWQ69FQTNYJ38" hidden="1">#REF!</definedName>
    <definedName name="BExIQX1XBB31HZTYEEVOBSE3C5A6" hidden="1">#REF!</definedName>
    <definedName name="BExIR2ALYRP9FW99DK2084J7IIDC" hidden="1">#REF!</definedName>
    <definedName name="BExIR8FQETPTQYW37DBVDWG3J4JW" hidden="1">#REF!</definedName>
    <definedName name="BExIRKQ3SPO6CDIZJECSRPG13Y5P" hidden="1">#REF!</definedName>
    <definedName name="BExIRN9W348HPZIGBSJRD0V5M4AY" hidden="1">#REF!</definedName>
    <definedName name="BExIRR0OTPVWRU7AFBYDOR6RIY40" hidden="1">#REF!</definedName>
    <definedName name="BExIRRBGTY01OQOI3U5SW59RFDFI" hidden="1">#REF!</definedName>
    <definedName name="BExIRV7R5RP4QU3RE8NNUFNFR8VP" hidden="1">#REF!</definedName>
    <definedName name="BExIS4CSI6UEKTYJMCAE7Q93FEVY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DY1CYBMW1RAB0CPBSUJ6374" hidden="1">#REF!</definedName>
    <definedName name="BExISKE2MYJX7JOO8XHKH9SFCE0L" hidden="1">#REF!</definedName>
    <definedName name="BExISM1JLV54A21A164IURMPGUMU" hidden="1">#REF!</definedName>
    <definedName name="BExISPSBXQSGKTE6FII0MS86JGKL" hidden="1">#REF!</definedName>
    <definedName name="BExISRFKJYUZ4AKW44IJF7RF9Y90" hidden="1">#REF!</definedName>
    <definedName name="BExISXFCVKJ1JJ2GYNW67Z8B48SL" hidden="1">#REF!</definedName>
    <definedName name="BExIT1MK8TBAK3SNP36A8FKDQSOK" hidden="1">#REF!</definedName>
    <definedName name="BExIT2IT2V9GEHP8BOT7V4TQL64A" hidden="1">#REF!</definedName>
    <definedName name="BExIT6PV1OTIJW2XVYSLT4IZ6YPX" hidden="1">#REF!</definedName>
    <definedName name="BExITBNYANV2S8KD56GOGCKW393R" hidden="1">#REF!</definedName>
    <definedName name="BExITUOZJXMDBG6USPH2VIJU1IY4" hidden="1">#REF!</definedName>
    <definedName name="BExITY56RKDF8EYFET61LS3JL96A" hidden="1">#REF!</definedName>
    <definedName name="BExIU1L5AZT4YWF37S0QEAXYHCNT" hidden="1">#REF!</definedName>
    <definedName name="BExIUB6GMB0SK1G4X7OS9A0AYW30" hidden="1">#REF!</definedName>
    <definedName name="BExIUD4OJGH65NFNQ4VMCE3R4J1X" hidden="1">#REF!</definedName>
    <definedName name="BExIULYTKJ6F74ZZ6GFR3H0502B9" hidden="1">#REF!</definedName>
    <definedName name="BExIUNBC437VE1DJBTW652I0MLU9" hidden="1">#REF!</definedName>
    <definedName name="BExIUUT2MHIOV6R3WHA0DPM1KBKY" hidden="1">#REF!</definedName>
    <definedName name="BExIUXI7T2XUZCSZE9GKUIN8NC2X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3SSFSGY3L407EJ60VECETHV" hidden="1">#REF!</definedName>
    <definedName name="BExIV6HUZFRIFLXW2SICKGTAH1PV" hidden="1">#REF!</definedName>
    <definedName name="BExIVCXWL6H5LD9DHDIA4F5U9TQL" hidden="1">#REF!</definedName>
    <definedName name="BExIVHVWLE97GSYXI5MCGEPG5OPB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JHVPI5H3PA2MRLVRVRW426P" hidden="1">#REF!</definedName>
    <definedName name="BExIWKE9MGIDWORBI43AWTUNYFAN" hidden="1">#REF!</definedName>
    <definedName name="BExIX2DMJCFY68X9XPKX7A9YBWQV" hidden="1">#REF!</definedName>
    <definedName name="BExIX34PM5DBTRHRQWP6PL6WIX88" hidden="1">#REF!</definedName>
    <definedName name="BExIX4S01VKH0V2KWQZGAY2FUFFS" hidden="1">#REF!</definedName>
    <definedName name="BExIX5OAP9KSUE5SIZCW9P39Q4WE" hidden="1">#REF!</definedName>
    <definedName name="BExIXGRJPVJMUDGSG7IHPXPNO69B" hidden="1">#REF!</definedName>
    <definedName name="BExIXM5R87ZL3FHALWZXYCPHGX3E" hidden="1">#REF!</definedName>
    <definedName name="BExIXS036ZCKT2Z8XZKLZ8PFWQGL" hidden="1">#REF!</definedName>
    <definedName name="BExIXY5CF9PFM0P40AZ4U51TMWV0" hidden="1">#REF!</definedName>
    <definedName name="BExIY933S3H76MZ3MIUU1RIQ093J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OO4P2NLI0GTES3GN8FDL0US" hidden="1">#REF!</definedName>
    <definedName name="BExIYP9Q6FV9T0R9G3UDKLS4TTYX" hidden="1">#REF!</definedName>
    <definedName name="BExIYZGLDQ1TN7BIIN4RLDP31GIM" hidden="1">#REF!</definedName>
    <definedName name="BExIZ9NF72S2L65N3EC0ILWUNMPK" hidden="1">#REF!</definedName>
    <definedName name="BExIZKVXYD5O2JBU81F2UFJZLLSI" hidden="1">#REF!</definedName>
    <definedName name="BExIZPZDHC8HGER83WHCZAHOX7LK" hidden="1">#REF!</definedName>
    <definedName name="BExIZWQ89JZR4YU10VZYZP4EK49Y" hidden="1">#REF!</definedName>
    <definedName name="BExIZY2PUZ0OF9YKK1B13IW0VS6G" hidden="1">#REF!</definedName>
    <definedName name="BExJ08KB42GOUC2P92D8UI7KEHKL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J11MY9B0F7RFESFSORX1Z25QM" hidden="1">#REF!</definedName>
    <definedName name="BExKCCREBIWYDT3KYY47J6PKFUJC" hidden="1">#REF!</definedName>
    <definedName name="BExKCDYKAEV45AFXHVHZZ62E5BM3" hidden="1">#REF!</definedName>
    <definedName name="BExKDJBKAJPY1RL4WY6D99TGYHCW" hidden="1">#REF!</definedName>
    <definedName name="BExKDKO0W4AGQO1V7K6Q4VM750FT" hidden="1">#REF!</definedName>
    <definedName name="BExKDLF10G7W77J87QWH3ZGLUCLW" hidden="1">#REF!</definedName>
    <definedName name="BExKDO45GL6PAZQR3PAOWFVA6WLZ" hidden="1">#REF!</definedName>
    <definedName name="BExKECZP33NUK0C6QS0GJZM2HUWI" hidden="1">#REF!</definedName>
    <definedName name="BExKEDL9UV4BINPEU49RMUR6ZWEL" hidden="1">#REF!</definedName>
    <definedName name="BExKEFE0I3MT6ZLC4T1L9465HKTN" hidden="1">#REF!</definedName>
    <definedName name="BExKEK6O5BVJP4VY02FY7JNAZ6BT" hidden="1">#REF!</definedName>
    <definedName name="BExKEKXK6E6QX339ELPXDIRZSJE0" hidden="1">#REF!</definedName>
    <definedName name="BExKES9ZA5L22XTSO9Y8GAI2RIIH" hidden="1">#REF!</definedName>
    <definedName name="BExKEW0RR5LA3VC46A2BEOOMQE56" hidden="1">#REF!</definedName>
    <definedName name="BExKF02HYBPMKRSPJGAK1MWM2V4R" hidden="1">#REF!</definedName>
    <definedName name="BExKF79BHNDQO1X9MSLGUSUKTFL3" hidden="1">#REF!</definedName>
    <definedName name="BExKFA3VI1CZK21SM0N3LZWT9LA1" hidden="1">#REF!</definedName>
    <definedName name="BExKFCI6YQRBCPFC24GKKKB9L4TT" hidden="1">#REF!</definedName>
    <definedName name="BExKFISRBFACTAMJSALEYMY66F6X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8KO0T2K2PJKN0MY59LZRPC0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JIF8Q6G1OV2PPUMDK1M5NHU" hidden="1">#REF!</definedName>
    <definedName name="BExKGNK5YGKP0YHHTAAOV17Z9EIM" hidden="1">#REF!</definedName>
    <definedName name="BExKGTP95PHKG0D2TY95VQEQTXI9" hidden="1">#REF!</definedName>
    <definedName name="BExKGV77YH9YXIQTRKK2331QGYKF" hidden="1">#REF!</definedName>
    <definedName name="BExKGWUGUAZ9RHGMMEHY6AG0GBZC" hidden="1">#REF!</definedName>
    <definedName name="BExKH0ANKNJUT5MEASVBDV24PB47" hidden="1">#REF!</definedName>
    <definedName name="BExKH3FTZ5VGTB86W9M4AB39R0G8" hidden="1">#REF!</definedName>
    <definedName name="BExKH3FV5U5O6XZM7STS3NZKQFGJ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K2S890OQ2BFWODEDGUTY4MW" hidden="1">#REF!</definedName>
    <definedName name="BExKHM0SYYU6HP7UAXTCPXW2Z0QW" hidden="1">#REF!</definedName>
    <definedName name="BExKHPM9XA0ADDK7TUR0N38EXWEP" hidden="1">#REF!</definedName>
    <definedName name="BExKHU9LXZ6A41EVO8W96F53YDNS" hidden="1">#REF!</definedName>
    <definedName name="BExKHVRK5MHIZFH1FF1FYRTV9GUV" hidden="1">#REF!</definedName>
    <definedName name="BExKI3PEWJHQW0ARWX3RAEBRAOCD" hidden="1">#REF!</definedName>
    <definedName name="BExKI4076KXCDE5KXL79KT36OKLO" hidden="1">#REF!</definedName>
    <definedName name="BExKI5NGA371GC1NR1JH4GZGYFR7" hidden="1">#REF!</definedName>
    <definedName name="BExKI7LO70WYISR7Q0Y1ZDWO9M3B" hidden="1">#REF!</definedName>
    <definedName name="BExKIGQV6TXIZG039HBOJU62WP2U" hidden="1">#REF!</definedName>
    <definedName name="BExKILE008SF3KTAN8WML3XKI1NZ" hidden="1">#REF!</definedName>
    <definedName name="BExKIU87ZKSOC2DYZWFK6SAK9I8E" hidden="1">#REF!</definedName>
    <definedName name="BExKIVFDJYF3MG124EXOQKJBZCFZ" hidden="1">#REF!</definedName>
    <definedName name="BExKJ449HLYX2DJ9UF0H9GTPSQ73" hidden="1">#REF!</definedName>
    <definedName name="BExKJ92DK8PBOSGSIPC7UUD72NZN" hidden="1">#REF!</definedName>
    <definedName name="BExKJA43N563PP5YD3FZFQJUHOI1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JYWHZYMDQ9TP045RUAD2ITY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23KCNWOFXZEEGMJ0UURFCMF" hidden="1">#REF!</definedName>
    <definedName name="BExKL5ZUHNSNMN250LCMKMSTVJ9A" hidden="1">#REF!</definedName>
    <definedName name="BExKLD6S9L66QYREYHBE5J44OK7X" hidden="1">#REF!</definedName>
    <definedName name="BExKLEZK32L28GYJWVO63BZ5E1JD" hidden="1">#REF!</definedName>
    <definedName name="BExKLGBZ8D7W1HW672WZB4ZK47TN" hidden="1">#REF!</definedName>
    <definedName name="BExKLLKVVHT06LA55JB2FC871DC5" hidden="1">#REF!</definedName>
    <definedName name="BExKLWYWL8HEKZRA5IGCCM60HYID" hidden="1">#REF!</definedName>
    <definedName name="BExKLX9OMIZRVELEESUGRFHXM0CU" hidden="1">#REF!</definedName>
    <definedName name="BExKMENICU2OH03LGGQTPJH3AXQ2" hidden="1">#REF!</definedName>
    <definedName name="BExKMI3IE8V3N5FMDID2KYNG040W" hidden="1">#REF!</definedName>
    <definedName name="BExKMWBX4EH3EYJ07UFEM08NB40Z" hidden="1">#REF!</definedName>
    <definedName name="BExKNBGV2IR3S7M0BX4810KZB4V3" hidden="1">#REF!</definedName>
    <definedName name="BExKNCTBZTSY3MO42VU5PLV6YUHZ" hidden="1">#REF!</definedName>
    <definedName name="BExKNCTCRS2BOS4CKGEM0R8PN4QE" hidden="1">#REF!</definedName>
    <definedName name="BExKNGV2YY749C42AQ2T9QNIE5C3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4JC0QRXXLQXH41IKPYFWMC4" hidden="1">#REF!</definedName>
    <definedName name="BExKOBVR6FBO1U02GWCHZEQEFC13" hidden="1">#REF!</definedName>
    <definedName name="BExKODIZGWW2EQD0FEYW6WK6XLCM" hidden="1">#REF!</definedName>
    <definedName name="BExKOPO2HPWVQGAKW8LOZMPIDEFG" hidden="1">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QZALG5KTNRMFRROKEMLW2C0" hidden="1">#REF!</definedName>
    <definedName name="BExKPUVK4W6T12KPKUL8P281MAPP" hidden="1">#REF!</definedName>
    <definedName name="BExKPW81IUDXB2JGOCW2YLMD6WR9" hidden="1">#REF!</definedName>
    <definedName name="BExKPX9VZ1J5021Q98K60HMPJU58" hidden="1">#REF!</definedName>
    <definedName name="BExKQH1Z8X8PII634JLRWJEHJVP2" hidden="1">#REF!</definedName>
    <definedName name="BExKQJ01GRP9KX7BHWUGSV76KSSN" hidden="1">#REF!</definedName>
    <definedName name="BExKQJGAAWNM3NT19E9I0CQDBTU0" hidden="1">#REF!</definedName>
    <definedName name="BExKQJWESTBD1T5RGDGS9VURVRJ3" hidden="1">#REF!</definedName>
    <definedName name="BExKQKNH1QUUTID9MVM3VKGE8CSO" hidden="1">#REF!</definedName>
    <definedName name="BExKQM5GJ1ZN5REKFE7YVBQ0KXWF" hidden="1">#REF!</definedName>
    <definedName name="BExKQO3G0R230211GSQXEUMGOJJH" hidden="1">#REF!</definedName>
    <definedName name="BExKQQ71278061G7ZFYGPWOMOMY2" hidden="1">#REF!</definedName>
    <definedName name="BExKQROXFHOAXZAJ9P338TCB51AS" hidden="1">#REF!</definedName>
    <definedName name="BExKQTXRG3ECU8NT47UR7643LO5G" hidden="1">#REF!</definedName>
    <definedName name="BExKQVL7HPOIZ4FHANDFMVOJLEPR" hidden="1">#REF!</definedName>
    <definedName name="BExKR21488HTVMFSI49SOQK48HYO" hidden="1">#REF!</definedName>
    <definedName name="BExKR8RZSEHW184G0Z56B4EGNU72" hidden="1">#REF!</definedName>
    <definedName name="BExKRS3TU9ZISEFNAGIP4D2THSPK" hidden="1">#REF!</definedName>
    <definedName name="BExKRSELTFPE9IAYFB0XR19P6LRA" hidden="1">#REF!</definedName>
    <definedName name="BExKRVUSQ6PA7ZYQSTEQL3X7PB9P" hidden="1">#REF!</definedName>
    <definedName name="BExKRY3KZ7F7RB2KH8HXSQ85IEQO" hidden="1">#REF!</definedName>
    <definedName name="BExKRYEF7NOI6KR3J457BVMGV4JF" hidden="1">#REF!</definedName>
    <definedName name="BExKSA37DZTCK6H13HPIKR0ZFVL8" hidden="1">#REF!</definedName>
    <definedName name="BExKSAJ9PLFSAM5DGYLJ0LGWBOCJ" hidden="1">#REF!</definedName>
    <definedName name="BExKSD8L0UW5JYIMNS1IGA415VKJ" hidden="1">#REF!</definedName>
    <definedName name="BExKSFHEJYQU3MJ64AXH349TS3AS" hidden="1">#REF!</definedName>
    <definedName name="BExKSFMOMSZYDE0WNC94F40S6636" hidden="1">#REF!</definedName>
    <definedName name="BExKSHQ9K79S8KYUWIV5M5LAHHF1" hidden="1">#REF!</definedName>
    <definedName name="BExKSJTWG9L3FCX8FLK4EMUJMF27" hidden="1">#REF!</definedName>
    <definedName name="BExKSMDKVAO0A43CLVBQQD41BXOS" hidden="1">#REF!</definedName>
    <definedName name="BExKSR66M8VX6DOVY5XKESJ3UH2N" hidden="1">#REF!</definedName>
    <definedName name="BExKSU0MKNAVZYYPKCYTZDWQX4R8" hidden="1">#REF!</definedName>
    <definedName name="BExKSU64804N332ZZEGAF57FL3M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GHU41U7OXQNLCH9L528CTKN" hidden="1">#REF!</definedName>
    <definedName name="BExKTQZGN8GI3XGSEXMPCCA3S19H" hidden="1">#REF!</definedName>
    <definedName name="BExKTUKYYU0F6TUW1RXV24LRAZFE" hidden="1">#REF!</definedName>
    <definedName name="BExKU3FBLHQBIUTN6XEZW5GC9OG1" hidden="1">#REF!</definedName>
    <definedName name="BExKU82I99FEUIZLODXJDOJC96CQ" hidden="1">#REF!</definedName>
    <definedName name="BExKUCPNSX25RS2YURVL5NC9MFD1" hidden="1">#REF!</definedName>
    <definedName name="BExKUDM0DFSCM3D91SH0XLXJSL18" hidden="1">#REF!</definedName>
    <definedName name="BExKUEIEGD9JH03Q4QGCL2ZVM2AQ" hidden="1">#REF!</definedName>
    <definedName name="BExKULEKJLA77AUQPDUHSM94Y76Z" hidden="1">#REF!</definedName>
    <definedName name="BExKUPASS3H5268MTUCTQGAWNU4C" hidden="1">#REF!</definedName>
    <definedName name="BExKV08R85MKI3MAX9E2HERNQUNL" hidden="1">#REF!</definedName>
    <definedName name="BExKV4AAUNNJL5JWD7PX6BFKVS6O" hidden="1">#REF!</definedName>
    <definedName name="BExKV8S497WD25N3LA72PSCGO8G3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G1YAPFUX59VJKAMHZS3595N" hidden="1">#REF!</definedName>
    <definedName name="BExM9NUG3Q31X01AI9ZJCZIX25CS" hidden="1">#REF!</definedName>
    <definedName name="BExM9OG182RP30MY23PG49LVPZ1C" hidden="1">#REF!</definedName>
    <definedName name="BExM9UQN0TIL2QB8BQX5YK9L7EW9" hidden="1">#REF!</definedName>
    <definedName name="BExM9Y1BGCBU7RMKMF96N2QPGI5S" hidden="1">#REF!</definedName>
    <definedName name="BExMA64MW1S18NH8DCKPCCEI5KCB" hidden="1">#REF!</definedName>
    <definedName name="BExMAE2GT3D01N9AG9TYBDAWURT7" hidden="1">#REF!</definedName>
    <definedName name="BExMALEWFUEM8Y686IT03ECURUBR" hidden="1">#REF!</definedName>
    <definedName name="BExMAN7OGDAEWAKXAP2WVVXV55Z4" hidden="1">#REF!</definedName>
    <definedName name="BExMAZ1QKUNZZT4LJ4YSPA9DA3AV" hidden="1">#REF!</definedName>
    <definedName name="BExMB4QRS0R3MTB4CMUHFZ84LNZQ" hidden="1">#REF!</definedName>
    <definedName name="BExMB81F9EIUXIWSKWQNANTZIXBM" hidden="1">#REF!</definedName>
    <definedName name="BExMBC35WKQY5CWQJLV4D05O6971" hidden="1">#REF!</definedName>
    <definedName name="BExMBDL58Z7G029SS6J0PI6C8RFT" hidden="1">#REF!</definedName>
    <definedName name="BExMBFTZV4Q1A5KG25C1N9PHQNSW" hidden="1">#REF!</definedName>
    <definedName name="BExMBK6ISK3U7KHZKUJXIDKGF6VW" hidden="1">#REF!</definedName>
    <definedName name="BExMBYPQDG9AYDQ5E8IECVFREPO6" hidden="1">[4]Table!#REF!</definedName>
    <definedName name="BExMC5R82S07KSLMO7YA8CCU0ZAI" hidden="1">#REF!</definedName>
    <definedName name="BExMC8AZUTX8LG89K2JJR7ZG62XX" hidden="1">#REF!</definedName>
    <definedName name="BExMCA96YR10V72G2R0SCIKPZLIZ" hidden="1">#REF!</definedName>
    <definedName name="BExMCAPB2KR2CNKS8MYVWTH5MOT2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RSC61GNE2C255DR0NN6NYI0" hidden="1">#REF!</definedName>
    <definedName name="BExMCS8EF2W3FS9QADNKREYSI8P0" hidden="1">#REF!</definedName>
    <definedName name="BExMCUS7GSOM96J0HJ7EH0FFM2AC" hidden="1">#REF!</definedName>
    <definedName name="BExMCXMMDFHHNJDRURMCXF1DGUOM" hidden="1">#REF!</definedName>
    <definedName name="BExMCYTT6TVDWMJXO1NZANRTVNAN" hidden="1">#REF!</definedName>
    <definedName name="BExMD5F6IAV108XYJLXUO9HD0IT6" hidden="1">#REF!</definedName>
    <definedName name="BExMD963673NTBXBO0VDNBAG9YWM" hidden="1">#REF!</definedName>
    <definedName name="BExMDANV66W9T3XAXID40XFJ0J93" hidden="1">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UQSGUCQSTHD9HUOWXZDR60O" hidden="1">#REF!</definedName>
    <definedName name="BExMDUWB7VWHFFR266QXO46BNV2S" hidden="1">#REF!</definedName>
    <definedName name="BExMDYHRTE8105W40O44QKPO8MPQ" hidden="1">#REF!</definedName>
    <definedName name="BExME2U47N8LZG0BPJ49ANY5QVV2" hidden="1">#REF!</definedName>
    <definedName name="BExME6QEP0MO248GIEBH5VL8FWZ9" hidden="1">#REF!</definedName>
    <definedName name="BExME88DH5DUKMUFI9FNVECXFD2E" hidden="1">#REF!</definedName>
    <definedName name="BExME9A7MOGAK7YTTQYXP5DL6VYA" hidden="1">#REF!</definedName>
    <definedName name="BExMEKTHIM47ERJ7ML7M759FF32G" hidden="1">#REF!</definedName>
    <definedName name="BExMEOV9YFRY5C3GDLU60GIX10BY" hidden="1">#REF!</definedName>
    <definedName name="BExMETIEZYI9Z7OKP4QW9I72UQOC" hidden="1">#REF!</definedName>
    <definedName name="BExMEY095ELVR1FY94CBBWCTD3ND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DLBSWFMRDYJ2DZETI3EXKN2" hidden="1">#REF!</definedName>
    <definedName name="BExMFFJCU2N6QOC5V50II5WTLPAF" hidden="1">#REF!</definedName>
    <definedName name="BExMFLDTMRTCHKA37LQW67BG8D5C" hidden="1">#REF!</definedName>
    <definedName name="BExMFQ102FN53YEFF1Q73O5PKTN2" hidden="1">#REF!</definedName>
    <definedName name="BExMFY4B5JW31L4PL9F4S16LTC8G" hidden="1">#REF!</definedName>
    <definedName name="BExMG5WV48IOTQX92U1WD7UF0XE9" hidden="1">#REF!</definedName>
    <definedName name="BExMG928RYC8AQCK844ZEQSFLS04" hidden="1">#REF!</definedName>
    <definedName name="BExMGFSWSVUC8O4EM6ZP6T82VC1A" hidden="1">#REF!</definedName>
    <definedName name="BExMH3H9TW5TJCNU5Z1EWXP3BAEP" hidden="1">#REF!</definedName>
    <definedName name="BExMHDNZR8EQGT074GMBMFCVK744" hidden="1">#REF!</definedName>
    <definedName name="BExMHLB66W9J3DOW8PDM6XX2WD5M" hidden="1">#REF!</definedName>
    <definedName name="BExMHLWROH53Q75RA3PIYGQSIL9V" hidden="1">#REF!</definedName>
    <definedName name="BExMHOWPB34KPZ76M2KIX2C9R2VB" hidden="1">#REF!</definedName>
    <definedName name="BExMHSSYC6KVHA3QDTSYPN92TWMI" hidden="1">#REF!</definedName>
    <definedName name="BExMI3AJ9477KDL4T9DHET4LJJTW" hidden="1">#REF!</definedName>
    <definedName name="BExMI3QOZTYEQUF0SE6AK4HHWJO7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DXCU9QIRMTERYHYYMJ3A1H" hidden="1">#REF!</definedName>
    <definedName name="BExMIBOOZU40JS3F89OMPSRCE9MM" hidden="1">#REF!</definedName>
    <definedName name="BExMIIQ5MBWSIHTFWAQADXMZC22Q" hidden="1">#REF!</definedName>
    <definedName name="BExMIKZ5EDDZDK5D6GTXJPH9XWND" hidden="1">#REF!</definedName>
    <definedName name="BExMIL4I2GE866I25CR5JBLJWJ6A" hidden="1">#REF!</definedName>
    <definedName name="BExMINZ37LI1QJPQABG2KAJ9970A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51XJZN31B84NVPI18J3CWTB" hidden="1">#REF!</definedName>
    <definedName name="BExMJ7LO3NVX1DJMO2BCZBCBTFV2" hidden="1">#REF!</definedName>
    <definedName name="BExMJA01LCAWUR1OX7H4E7JGNN3W" hidden="1">#REF!</definedName>
    <definedName name="BExMJGALSH3TZCJVOLAH61OLQHK8" hidden="1">#REF!</definedName>
    <definedName name="BExMJNC8ZFB9DRFOJ961ZAJ8U3A8" hidden="1">#REF!</definedName>
    <definedName name="BExMJTBV8A3D31W2IQHP9RDFPPHQ" hidden="1">#REF!</definedName>
    <definedName name="BExMJU88RD6ZQPDY6XCA8TTNIGTA" hidden="1">#REF!</definedName>
    <definedName name="BExMK0OA4CYPHQFXIOZFG5E4Y027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NWE59950XZLKZ3TTZFEWIOJ" hidden="1">#REF!</definedName>
    <definedName name="BExMKOI0IEYQSWL82F4MI37J9NZ3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7ZAWA2C4C15JFW5GG1U6B6M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TIXETA5VAKBSOFDD5SRU887" hidden="1">#REF!</definedName>
    <definedName name="BExMMV0P6P5YS3C35G0JYYHI7992" hidden="1">#REF!</definedName>
    <definedName name="BExMNF3NE7KDVEY6NIRP0QIB1AZC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Q1J7QX20FWV4DQ41E6S4T2W" hidden="1">#REF!</definedName>
    <definedName name="BExMNQMY2IUP61KESI720VOMTAJ1" hidden="1">#REF!</definedName>
    <definedName name="BExMNR38HMPLWAJRQ9MMS3ZAZ9IU" hidden="1">#REF!</definedName>
    <definedName name="BExMNRDZULKJMVY2VKIIRM2M5A1M" hidden="1">#REF!</definedName>
    <definedName name="BExMNUZHMKFZ814RTA641MNKZ7HQ" hidden="1">#REF!</definedName>
    <definedName name="BExMNW6NIOK4PW2K16RX2DT8BCKP" hidden="1">#REF!</definedName>
    <definedName name="BExMO4F9FY8S171WJPZH7SPD8V4C" hidden="1">#REF!</definedName>
    <definedName name="BExMO6Z27UP2HDQ794QD8ZPVIOQQ" hidden="1">#REF!</definedName>
    <definedName name="BExMO9IOWKTWHO8LQJJQI5P3INWY" hidden="1">#REF!</definedName>
    <definedName name="BExMOA49AWCV79DUQAGC6I8WS9UU" hidden="1">#REF!</definedName>
    <definedName name="BExMOEBCMD9CT3AR69NACO3EF4XP" hidden="1">#REF!</definedName>
    <definedName name="BExMOI29DOEK5R1A5QZPUDKF7N6T" hidden="1">#REF!</definedName>
    <definedName name="BExMOJ9GY6AQGI153FV703AE296H" hidden="1">#REF!</definedName>
    <definedName name="BExMOO1VW4U2MUVX56CHWTFAPP0V" hidden="1">#REF!</definedName>
    <definedName name="BExMPAJ5AJAXGKGK3F6H3ODS6RF4" hidden="1">#REF!</definedName>
    <definedName name="BExMPD2X55FFBVJ6CBUKNPROIOEU" hidden="1">#REF!</definedName>
    <definedName name="BExMPGTVPYQ1ACGV1RRRS5LYB125" hidden="1">#REF!</definedName>
    <definedName name="BExMPGZ848E38FUH1JBQN97DGWAT" hidden="1">#REF!</definedName>
    <definedName name="BExMPI6D6WG8DZVN0RPA6EHCMQMQ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Q41ZQNCI291UVV7EBWD8RXWS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MSATU6JDGTTCNUARB3J9EDJ" hidden="1">#REF!</definedName>
    <definedName name="BExMQSBR7PL4KLB1Q4961QO45Y4G" hidden="1">#REF!</definedName>
    <definedName name="BExMQXKP0G19DXPGNAVJ8SMN2DKA" hidden="1">#REF!</definedName>
    <definedName name="BExMR1MA4I1X77714ZEPUVC8W398" hidden="1">#REF!</definedName>
    <definedName name="BExMR4GUTFCN4RD7H81IOKECLEG3" hidden="1">#REF!</definedName>
    <definedName name="BExMR8YQHA7N77HGHY4Y6R30I3XT" hidden="1">#REF!</definedName>
    <definedName name="BExMRALXXOQZ0N7YJFCNQRH9MUFP" hidden="1">#REF!</definedName>
    <definedName name="BExMRENOIARWRYOIVPDIEBVNRDO7" hidden="1">#REF!</definedName>
    <definedName name="BExMRPG54LNH7HRC92MBSUT6UL6L" hidden="1">#REF!</definedName>
    <definedName name="BExMRRJNUMGRSDD5GGKKGEIZ6FTS" hidden="1">#REF!</definedName>
    <definedName name="BExMRU3ACIU0RD2BNWO55LH5U2BR" hidden="1">#REF!</definedName>
    <definedName name="BExMSM9I7XZ0BC793Y8GWVJNG1V9" hidden="1">#REF!</definedName>
    <definedName name="BExMSQRCC40AP8BDUPL2I2DNC210" hidden="1">#REF!</definedName>
    <definedName name="BExO4J9LR712G00TVA82VNTG8O7H" hidden="1">#REF!</definedName>
    <definedName name="BExO4P9G3CC5P66YXQJ1MQZE3Q3L" hidden="1">#REF!</definedName>
    <definedName name="BExO4Q5T1IO39TUFXG41PZPWD8H5" hidden="1">#REF!</definedName>
    <definedName name="BExO55G1TSGDZFB6771FB6A1QGVU" hidden="1">#REF!</definedName>
    <definedName name="BExO55G2KVZ7MIJ30N827CLH0I2A" hidden="1">#REF!</definedName>
    <definedName name="BExO5A8PZD9EUHC5CMPU6N3SQ15L" hidden="1">#REF!</definedName>
    <definedName name="BExO5PIYACU6V58PULPBV0MD9T1G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7ETEBFYQ29SS5MLGMJESYQXH" hidden="1">#REF!</definedName>
    <definedName name="BExO7KYMOKVIRDVCJXUOPY4INITA" hidden="1">#REF!</definedName>
    <definedName name="BExO7OUQS3XTUQ2LDKGQ8AAQ3OJJ" hidden="1">#REF!</definedName>
    <definedName name="BExO7W1PSMP8KLLJ6LI9QUDVQEVV" hidden="1">#REF!</definedName>
    <definedName name="BExO83E4KFY9YIBOHS4DNBOWE50V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TM4L261JTCSQ24FHE73242J" hidden="1">#REF!</definedName>
    <definedName name="BExO8TM5V5CFSV5A13AYOWY4NGRS" hidden="1">#REF!</definedName>
    <definedName name="BExO8UTAGQWDBQZEEF4HUNMLQCVU" hidden="1">#REF!</definedName>
    <definedName name="BExO94UTJKQQ7TJTTJRTSR70YVJC" hidden="1">#REF!</definedName>
    <definedName name="BExO9801AY362YK6SBDGVPT1HJ7F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9XX9C6XZN5QJCWIRFNI577SY" hidden="1">#REF!</definedName>
    <definedName name="BExOA2KJSK9CIJ3RHMAWKPAWNR1C" hidden="1">#REF!</definedName>
    <definedName name="BExOA8PPAT6BFKDHD9OQK39O9RSG" hidden="1">#REF!</definedName>
    <definedName name="BExOAFR6JHRK4AP8O7TB9UDEAVJL" hidden="1">#REF!</definedName>
    <definedName name="BExOAGCX9ISY83KMXO02KFMKR8OW" hidden="1">#REF!</definedName>
    <definedName name="BExOAHEKGAT4TZERRQEU8CPGQXI0" hidden="1">#REF!</definedName>
    <definedName name="BExOAQ3GKCT7YZW1EMVU3EILSZL2" hidden="1">#REF!</definedName>
    <definedName name="BExOAXAFOPTMIUWRX0PM4QD3BGU0" hidden="1">#REF!</definedName>
    <definedName name="BExOB886RIKYRO6D0LXJDAB2M84Z" hidden="1">#REF!</definedName>
    <definedName name="BExOBEZ0IE2WBEYY3D3CMRI72N1K" hidden="1">#REF!</definedName>
    <definedName name="BExOBIPU8760ITY0C8N27XZ3KWEF" hidden="1">#REF!</definedName>
    <definedName name="BExOBJM69XWT3WRT2Q1THT6T40IT" hidden="1">#REF!</definedName>
    <definedName name="BExOBJM6ONXHKZT1AOHR40YWTMO2" hidden="1">#REF!</definedName>
    <definedName name="BExOBNNWXJI9Y0IQ9VT4NMZCB3SW" hidden="1">#REF!</definedName>
    <definedName name="BExOBOUXMP88KJY2BX2JLUJH5N0K" hidden="1">#REF!</definedName>
    <definedName name="BExOBP0FKQ4SVR59FB48UNLKCOR6" hidden="1">#REF!</definedName>
    <definedName name="BExOBUPDRAFEUBKJ9UM0YE0O6D8L" hidden="1">#REF!</definedName>
    <definedName name="BExOBYAVUCQ0IGM0Y6A75QHP0Q1A" hidden="1">#REF!</definedName>
    <definedName name="BExOBYLMYCYZ1NJLHJCPLA3PVKYK" hidden="1">#REF!</definedName>
    <definedName name="BExOBYLO8NTLBKV3569Y2UNNIV1K" hidden="1">#REF!</definedName>
    <definedName name="BExOC08Y6OIMB5N7XH5Q1IR1M20Q" hidden="1">#REF!</definedName>
    <definedName name="BExOC3UEHB1CZNINSQHZANWJYKR8" hidden="1">#REF!</definedName>
    <definedName name="BExOC7LCVAJC36Q60I8PKPCD0T1S" hidden="1">#REF!</definedName>
    <definedName name="BExOCBSF3XGO9YJ23LX2H78VOUR7" hidden="1">#REF!</definedName>
    <definedName name="BExOCKXF1ZT32C75U2CC184RUHQY" hidden="1">#REF!</definedName>
    <definedName name="BExOCKXFMOW6WPFEVX1I7R7FNDSS" hidden="1">#REF!</definedName>
    <definedName name="BExOCQX7MZG1R6UPBHNGI606SL8K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7UW08DL8YQ9N0PP3S3JDIXP" hidden="1">#REF!</definedName>
    <definedName name="BExODEWDDEABM4ZY3XREJIBZ8IVP" hidden="1">#REF!</definedName>
    <definedName name="BExODZFEIWV26E8RFU7XQYX1J458" hidden="1">#REF!</definedName>
    <definedName name="BExOE89QWLYZ033JJYOXL9EN126C" hidden="1">#REF!</definedName>
    <definedName name="BExOEBKG55EROA2VL360A06LKASE" hidden="1">#REF!</definedName>
    <definedName name="BExOEQ950T5YX65HYMBVURTC7ZMW" hidden="1">#REF!</definedName>
    <definedName name="BExOERG5LWXYYEN1DY1H2FWRJS9T" hidden="1">#REF!</definedName>
    <definedName name="BExOEV1S6JJVO5PP4BZ20SNGZR7D" hidden="1">#REF!</definedName>
    <definedName name="BExOF5ZJR1UJ9IQRGDTEZM7GPQX4" hidden="1">#REF!</definedName>
    <definedName name="BExOFEDNCYI2TPTMQ8SJN3AW4YMF" hidden="1">#REF!</definedName>
    <definedName name="BExOFJH1W33H5R9GH680DNXTZ0ZN" hidden="1">#REF!</definedName>
    <definedName name="BExOFVLXVD6RVHSQO8KZOOACSV24" hidden="1">#REF!</definedName>
    <definedName name="BExOG1AZCK9QN09SNEN2DTTFFCLJ" hidden="1">#REF!</definedName>
    <definedName name="BExOG2SW3XOGP9VAPQ3THV3VWV12" hidden="1">#REF!</definedName>
    <definedName name="BExOG45J81K4OPA40KW5VQU54KY3" hidden="1">#REF!</definedName>
    <definedName name="BExOG6P59Q562PSIPH4WUPI911WN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VF9CMNASZSQQV5V3X7H9URI" hidden="1">#REF!</definedName>
    <definedName name="BExOGXO9JE5XSE9GC3I6O21UEKAO" hidden="1">#REF!</definedName>
    <definedName name="BExOGYVEAJFUXQVT8YQO2U7YT5OY" hidden="1">#REF!</definedName>
    <definedName name="BExOH2GVFOFXDG3YQK89NSKG7WJG" hidden="1">#REF!</definedName>
    <definedName name="BExOH7KB5HAPBB5K1Z3DIW5LCRSI" hidden="1">#REF!</definedName>
    <definedName name="BExOH9ICZ13C1LAW8OTYTR9S7ZP3" hidden="1">#REF!</definedName>
    <definedName name="BExOHBB43JS54D6MARIQR5PJNUDG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N9ETPA87K6NINBIFRSWHK4C" hidden="1">#REF!</definedName>
    <definedName name="BExOIOGKGN38R5KJKLJC5CGDG9FF" hidden="1">#REF!</definedName>
    <definedName name="BExOIWJVMJ6MG6JC4SPD1L00OHU1" hidden="1">#REF!</definedName>
    <definedName name="BExOIXLLLLE0YYA3YPDZCIU2U277" hidden="1">#REF!</definedName>
    <definedName name="BExOIYCN8Z4JK3OOG86KYUCV0ME8" hidden="1">#REF!</definedName>
    <definedName name="BExOJ3AKZ9BCBZT3KD8WMSLK6MN2" hidden="1">#REF!</definedName>
    <definedName name="BExOJ4HR73UYX750QFAG04WAJM4R" hidden="1">#REF!</definedName>
    <definedName name="BExOJ7HNRY988NH1O1FBS4K68NTP" hidden="1">#REF!</definedName>
    <definedName name="BExOJ7XQK71I4YZDD29AKOOWZ47E" hidden="1">#REF!</definedName>
    <definedName name="BExOJH2WIVH7AUG57RLOPMB0K4NJ" hidden="1">#REF!</definedName>
    <definedName name="BExOJM0W6XGSW5MXPTTX0GNF6SFT" hidden="1">#REF!</definedName>
    <definedName name="BExOJOF5WWK275X6GWOYJECAAE81" hidden="1">#REF!</definedName>
    <definedName name="BExOJR4A4AK9AC07JFR2LM0XAPKN" hidden="1">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5YGKYP0BAWSBGGRWR8EU1AE" hidden="1">#REF!</definedName>
    <definedName name="BExOK8SW0DFQZBOSTDAPUCLN165A" hidden="1">#REF!</definedName>
    <definedName name="BExOKC92JW7DGZIPM59HWKV9LE92" hidden="1">#REF!</definedName>
    <definedName name="BExOKCECQSFWA99RY6KEDPH30KT6" hidden="1">#REF!</definedName>
    <definedName name="BExOKDAQ31PVS0Q7NXOF66C24GYL" hidden="1">#REF!</definedName>
    <definedName name="BExOKTXMJP351VXKH8VT6SXUNIMF" hidden="1">#REF!</definedName>
    <definedName name="BExOL0Z3Z7IAMHPB91EO2MF49U57" hidden="1">#REF!</definedName>
    <definedName name="BExOL7KH12VAR0LG741SIOJTLWFD" hidden="1">#REF!</definedName>
    <definedName name="BExOLB5SC7VD8OG53K8II93SAENQ" hidden="1">#REF!</definedName>
    <definedName name="BExOLD411QWFX4FN11349510DRJ8" hidden="1">#REF!</definedName>
    <definedName name="BExOLEGN3NUVIS2ZFVV38JVJL2TL" hidden="1">#REF!</definedName>
    <definedName name="BExOLICXFHJLILCJVFMJE5MGGWKR" hidden="1">#REF!</definedName>
    <definedName name="BExOLII80W21XY5V82WU5AQITPHJ" hidden="1">#REF!</definedName>
    <definedName name="BExOLOI0WJS3QC12I3ISL0D9AWOF" hidden="1">#REF!</definedName>
    <definedName name="BExOLYZNCQU9YFRCJTSR1R7098U7" hidden="1">#REF!</definedName>
    <definedName name="BExOLYZNG5RBD0BTS1OEZJNU92Q5" hidden="1">#REF!</definedName>
    <definedName name="BExOM3HIJ3UZPOKJI68KPBJAHPDC" hidden="1">#REF!</definedName>
    <definedName name="BExOM96HWZG985JIMGPSHXS9TMLX" hidden="1">#REF!</definedName>
    <definedName name="BExOMA2VC8A3Y5VGJYXQF5GQ4OU1" hidden="1">#REF!</definedName>
    <definedName name="BExOMBFCBGGM6KO5RX1LMJ0M22S4" hidden="1">#REF!</definedName>
    <definedName name="BExOMI672TH8VPB5MGW4I7CD339Q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B3A7CO4YD8RB41PHC93BQ9M" hidden="1">#REF!</definedName>
    <definedName name="BExONFL4TFXSXWK3WNKGBKED9MO0" hidden="1">#REF!</definedName>
    <definedName name="BExONFQH6UUXF8V0GI4BRIST9RFO" hidden="1">#REF!</definedName>
    <definedName name="BExONIL1EPN8W1SVF4S473NVT9G0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NVBIXX436X1BG1TMAO4S9LD0" hidden="1">#REF!</definedName>
    <definedName name="BExONX49XBFAPVPQNEHXM8XDC79C" hidden="1">#REF!</definedName>
    <definedName name="BExOO1WWIZSGB0YTGKESB45TSVMZ" hidden="1">#REF!</definedName>
    <definedName name="BExOOIULUDOJRMYABWV5CCL906X6" hidden="1">#REF!</definedName>
    <definedName name="BExOORE1DP6UVW28XJX2VS05649B" hidden="1">#REF!</definedName>
    <definedName name="BExOOTN0KTXJCL7E476XBN1CJ553" hidden="1">#REF!</definedName>
    <definedName name="BExOOZS59MUP7U26N84TI165PX4L" hidden="1">#REF!</definedName>
    <definedName name="BExOP9DEBV5W5P4Q25J3XCJBP5S9" hidden="1">#REF!</definedName>
    <definedName name="BExOPINVFSIZMCVT9YGT2AODVCX3" hidden="1">#REF!</definedName>
    <definedName name="BExOPJV0G43Z50LNI0UWME9NPU9S" hidden="1">#REF!</definedName>
    <definedName name="BExOPOCW0RROYT7PSRZZVUNGEUZQ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1X1RE71HCCMKWV64X8HPHR0R" hidden="1">#REF!</definedName>
    <definedName name="BExQ201O585NGZN5T0ZBBCZ3QYIF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2OGXM0T8TGMUKQW4EMTK1CZU" hidden="1">#REF!</definedName>
    <definedName name="BExQ2XWWDY01GRMIPALFLLXYXLFZ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GXZL78MPQBOTXBTZ4VT2OAS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1BOL730OSEM60CEMAMP4ARQ" hidden="1">#REF!</definedName>
    <definedName name="BExQ42DIM8UCTK406IMGKAT1BH86" hidden="1">#REF!</definedName>
    <definedName name="BExQ42IU9MNDYLODP41DL6YTZMAR" hidden="1">#REF!</definedName>
    <definedName name="BExQ452HF7N1HYPXJXQ8WD6SOWUV" hidden="1">#REF!</definedName>
    <definedName name="BExQ4B7Q3NN5PZMR9C0YCQ9KMIUO" hidden="1">#REF!</definedName>
    <definedName name="BExQ4BTBSHPHVEDRCXC2ROW8PLFC" hidden="1">#REF!</definedName>
    <definedName name="BExQ4DGKF54SRKQUTUT4B1CZSS62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DFCMH5OHD98E44TCGRSTMO5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JJ6GQ820H268M24Q000VLS5" hidden="1">#REF!</definedName>
    <definedName name="BExQ6M2YXJ8AMRJF3QGHC40ADAHZ" hidden="1">#REF!</definedName>
    <definedName name="BExQ6M8B0X44N9TV56ATUVHGDI00" hidden="1">#REF!</definedName>
    <definedName name="BExQ6NKT7GLCK5DO3FT99FA0VH7Y" hidden="1">#REF!</definedName>
    <definedName name="BExQ6PIZEB3532T46HXOTSDMM8XR" hidden="1">#REF!</definedName>
    <definedName name="BExQ6POH065GV0I74XXVD0VUPBJW" hidden="1">#REF!</definedName>
    <definedName name="BExQ6RRZGDNI0F8NF1ESOMJ6GEOA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A20AV2L7A40L17AYC7A6ZQ6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MB5IFFRE06B7PWYW58VICTO" hidden="1">#REF!</definedName>
    <definedName name="BExQ8O3WEU8HNTTGKTW5T0QSKCLP" hidden="1">#REF!</definedName>
    <definedName name="BExQ8U95JXE2ZGDDWOEHH46ENO5L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DQATTM64NGUOQWM96CIR7J1" hidden="1">#REF!</definedName>
    <definedName name="BExQ9DVR0WJQK432BJFWT5WHPMRB" hidden="1">#REF!</definedName>
    <definedName name="BExQ9E6FBAXTHGF3RXANFIA77GX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UTBG7U9230WYCDDJGX4OPSK" hidden="1">#REF!</definedName>
    <definedName name="BExQ9ZLYHWABXAA9NJDW8ZS0UQ9P" hidden="1">[4]Table!#REF!</definedName>
    <definedName name="BExQA1K5RSF4IXDBKKTY062MG62R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AYIU407XJD6ST4U65FT6EP0M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75UO5AXWEJSSOM51VSA51K" hidden="1">#REF!</definedName>
    <definedName name="BExQBPSOZ47V81YAEURP0NQJNTJH" hidden="1">#REF!</definedName>
    <definedName name="BExQC5TWT21CGBKD0IHAXTIN2QB8" hidden="1">#REF!</definedName>
    <definedName name="BExQC94JL9F5GW4S8DQCAF4WB2DA" hidden="1">#REF!</definedName>
    <definedName name="BExQCFKM1IKOFNIJ0A3Y0JN5W7UL" hidden="1">#REF!</definedName>
    <definedName name="BExQCI9M5F9BX0WO90T8KQKXJECZ" hidden="1">#REF!</definedName>
    <definedName name="BExQCKTD8AT0824LGWREXM1B5D1X" hidden="1">#REF!</definedName>
    <definedName name="BExQCL9G33RYVDBMMXF53D69CJSB" hidden="1">#REF!</definedName>
    <definedName name="BExQD277ELZ2REPOV819UEUBZT0E" hidden="1">#REF!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DHHF8YERT18RMIJJRIUEE6X6" hidden="1">#REF!</definedName>
    <definedName name="BExQDUDF0UTF4XBSUB9RQ81WBKIL" hidden="1">#REF!</definedName>
    <definedName name="BExQE6IAA3QFZ6TX9BXPJISLE0Q1" hidden="1">#REF!</definedName>
    <definedName name="BExQEA3R7RVO1CFLAMRJQVU6RHTJ" hidden="1">#REF!</definedName>
    <definedName name="BExQEJUD5RQJ325ULPV2E4W8QAL6" hidden="1">#REF!</definedName>
    <definedName name="BExQEMUA4HEFM4OVO8M8MA8PIAW1" hidden="1">#REF!</definedName>
    <definedName name="BExQEQ4XZQFIKUXNU9H7WE7AMZ1U" hidden="1">#REF!</definedName>
    <definedName name="BExQF1OEB07CRAP6ALNNMJNJ3P2D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MNOOBC2XE1R03V1MF8QJSDG" hidden="1">#REF!</definedName>
    <definedName name="BExQFNPE0JNBFPGM91B5GNSDG31N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16XDJ8RN3V0V5OGXX4WS3JY" hidden="1">#REF!</definedName>
    <definedName name="BExQG8TYRD2G42UA5ZPCRLNKUDMX" hidden="1">#REF!</definedName>
    <definedName name="BExQGMM9RZL83B2Z0ZZPHKUY6VTK" hidden="1">#REF!</definedName>
    <definedName name="BExQGNYX81MP55WLY9HSLBJV4RR9" hidden="1">#REF!</definedName>
    <definedName name="BExQGO48J9MPCDQ96RBB9UN9AIGT" hidden="1">#REF!</definedName>
    <definedName name="BExQGSBB6MJWDW7AYWA0MSFTXKRR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VF9KD06AG2RXUQJ9X4PVGX4" hidden="1">#REF!</definedName>
    <definedName name="BExQHZBHVN2L4HC7ACTR73T5OCV0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DUXFRRQTUP42M6V5KODFDPZ" hidden="1">#REF!</definedName>
    <definedName name="BExQIEWM4YHWE15RFGAT8AWBZ25Y" hidden="1">#REF!</definedName>
    <definedName name="BExQIII2YKNNBPUFZNOC88FK394S" hidden="1">#REF!</definedName>
    <definedName name="BExQIJ3MXQTOCJOYHR9WBQT7DJW7" hidden="1">#REF!</definedName>
    <definedName name="BExQIPOZFRU8IYAWDXEQF0OQOM7Y" hidden="1">#REF!</definedName>
    <definedName name="BExQIS8O6R36CI01XRY9ISM99TW9" hidden="1">#REF!</definedName>
    <definedName name="BExQIVJB9MJ25NDUHTCVMSODJY2C" hidden="1">#REF!</definedName>
    <definedName name="BExQJ7IXTYN8ELZIUSOUURFAP5Z5" hidden="1">#REF!</definedName>
    <definedName name="BExQJBF7LAX128WR7VTMJC88ZLPG" hidden="1">#REF!</definedName>
    <definedName name="BExQJEVCKX6KZHNCLYXY7D0MX5KN" hidden="1">#REF!</definedName>
    <definedName name="BExQJIBCENFZ4FNIPQ8IC1PBMHA9" hidden="1">#REF!</definedName>
    <definedName name="BExQJNPK249IBF78B8FJX55WJTK5" hidden="1">#REF!</definedName>
    <definedName name="BExQJP274QELZ81RBJ6O7TBEYJCI" hidden="1">#REF!</definedName>
    <definedName name="BExQJX019VWBQMW1HCV154DP9287" hidden="1">#REF!</definedName>
    <definedName name="BExQK1HV6SQQ7CP8H8IUKI9TYXTD" hidden="1">#REF!</definedName>
    <definedName name="BExQK1SODHG66277P2K5V2W6173O" hidden="1">#REF!</definedName>
    <definedName name="BExQK3LE5CSBW1E4H4KHW548FL2R" hidden="1">#REF!</definedName>
    <definedName name="BExQKG6LD6PLNDGNGO9DJXY865BR" hidden="1">#REF!</definedName>
    <definedName name="BExQKY5XQ8AKSVR1FW9U2M6T8HOW" hidden="1">#REF!</definedName>
    <definedName name="BExQLE1TOW3A287TQB0AVWENT8O1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RRIXRUMZ5GOO95S7460BMP" hidden="1">#REF!</definedName>
    <definedName name="BExRZK9RAHMM0ZLTNSK7A4LDC42D" hidden="1">#REF!</definedName>
    <definedName name="BExRZRGOJ7MFECHDV5UYKUIA0FHP" hidden="1">#REF!</definedName>
    <definedName name="BExS02PDU3RIYDBR02EV6VUXEVN6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0PXIFHGX6Z03DN5JF1FJHQRC" hidden="1">#REF!</definedName>
    <definedName name="BExS0UFCKI6Z4BDWL0C1TI1UZA8D" hidden="1">#REF!</definedName>
    <definedName name="BExS0YBM7SJ18H3RMJUXOECFZ4JL" hidden="1">#REF!</definedName>
    <definedName name="BExS15IJV0WW662NXQUVT3FGP4ST" hidden="1">#REF!</definedName>
    <definedName name="BExS16PROWSNHW3MZQBGQNQU7S8R" hidden="1">#REF!</definedName>
    <definedName name="BExS1BNVGNSGD4EP90QL8WXYWZ66" hidden="1">#REF!</definedName>
    <definedName name="BExS1QSMSTVY1B0ZPHCRCYK3CW1K" hidden="1">#REF!</definedName>
    <definedName name="BExS1SFVZR18VJY830HSLXBOONFK" hidden="1">#REF!</definedName>
    <definedName name="BExS1UE39N6NCND7MAARSBWXS6HU" hidden="1">#REF!</definedName>
    <definedName name="BExS1VQKWZC7SM0UY7BWIPST3VU3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OT61VXS58SSI0I90Z76DFCQ" hidden="1">#REF!</definedName>
    <definedName name="BExS2QB5FS5LYTFYO4BROTWG3OV5" hidden="1">#REF!</definedName>
    <definedName name="BExS2TLU1HONYV6S3ZD9T12D7CIG" hidden="1">#REF!</definedName>
    <definedName name="BExS361HOEOALW0SYKDDGKOJ0LNX" hidden="1">#REF!</definedName>
    <definedName name="BExS3AU5SHR9J03UOBD3PU3IHQWG" hidden="1">#REF!</definedName>
    <definedName name="BExS3LBS0SMTHALVM4NRI1BAV1NP" hidden="1">#REF!</definedName>
    <definedName name="BExS3MTQ75VBXDGEBURP6YT8RROE" hidden="1">#REF!</definedName>
    <definedName name="BExS3OH5XH1H0NEUDJGB0D1EF3C6" hidden="1">#REF!</definedName>
    <definedName name="BExS3OMGYO0DFN5186UFKEXZ2RX3" hidden="1">#REF!</definedName>
    <definedName name="BExS3P80Y9ITQVZ5PNBWPAUAGBI4" hidden="1">#REF!</definedName>
    <definedName name="BExS3SDERJ27OER67TIGOVZU13A2" hidden="1">#REF!</definedName>
    <definedName name="BExS3WV2VQ19L2A1DJ73AUFN7SRX" hidden="1">#REF!</definedName>
    <definedName name="BExS40M1IGHDOQVHEFEUFJ5FVI4M" hidden="1">#REF!</definedName>
    <definedName name="BExS46R5WDNU5KL04FKY5LHJUCB8" hidden="1">#REF!</definedName>
    <definedName name="BExS4AI3QB43GGP5RSOPUPANE52K" hidden="1">#REF!</definedName>
    <definedName name="BExS4ASWKM93XA275AXHYP8AG6SU" hidden="1">#REF!</definedName>
    <definedName name="BExS4AYCWLW5ZBG3L0WX6CFS6D63" hidden="1">#REF!</definedName>
    <definedName name="BExS4IAMWTT1CKFNHGN8SPWSD3QR" hidden="1">#REF!</definedName>
    <definedName name="BExS4JN3Y6SVBKILQK0R9HS45Y52" hidden="1">#REF!</definedName>
    <definedName name="BExS4P6S41O6Z6BED77U3GD9PNH1" hidden="1">#REF!</definedName>
    <definedName name="BExS4UFKWNI7QAX0PTOVVBUB0LP8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BYO19H5ZKO75ERO60KF7DQH" hidden="1">#REF!</definedName>
    <definedName name="BExS5GB6WCCALGBA3Z1QYJUQJB1R" hidden="1">#REF!</definedName>
    <definedName name="BExS5TY0F5R1ZXIVJHAAVVG81G5H" hidden="1">#REF!</definedName>
    <definedName name="BExS5ZHPJDATHT2FQYAS34HVUD47" hidden="1">#REF!</definedName>
    <definedName name="BExS6AQ7Z4VRXLJ5ZXYCH1EWOPPL" hidden="1">#REF!</definedName>
    <definedName name="BExS6GKQ96EHVLYWNJDWXZXUZW90" hidden="1">#REF!</definedName>
    <definedName name="BExS6ITKSZFRR01YD5B0F676SYN7" hidden="1">#REF!</definedName>
    <definedName name="BExS6IYVVGGZJXGGYPX7UNAQOB2X" hidden="1">#REF!</definedName>
    <definedName name="BExS6KGU63BUOXCPJ9TSCDS9ZY2T" hidden="1">#REF!</definedName>
    <definedName name="BExS6N0LI574IAC89EFW6CLTCQ33" hidden="1">#REF!</definedName>
    <definedName name="BExS6WRDBF3ST86ZOBBUL3GTCR11" hidden="1">#REF!</definedName>
    <definedName name="BExS6XNRKR0C3MTA0LV5B60UB908" hidden="1">#REF!</definedName>
    <definedName name="BExS79HUY1GAJJP4VMMZHU8UJI6O" hidden="1">#REF!</definedName>
    <definedName name="BExS7DU7IOWG5MHL28Z4KOM2V434" hidden="1">#REF!</definedName>
    <definedName name="BExS7HQI0PBQNP39JUZ69RMC7M7N" hidden="1">#REF!</definedName>
    <definedName name="BExS7TKQYLRZGM93UY3ZJZJBQNFJ" hidden="1">#REF!</definedName>
    <definedName name="BExS7Y2FLKPDHXKHL6B0IB8PNTW2" hidden="1">#REF!</definedName>
    <definedName name="BExS7Y2LNGVHSIBKC7C3R6X4LDR6" hidden="1">#REF!</definedName>
    <definedName name="BExS80RP8GCPNFHHGN85D3RLJQWW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47OCSKMJNF4R5SSYHOKN5OI" hidden="1">#REF!</definedName>
    <definedName name="BExS8BPG5A0GR5AO1U951NDGGR0L" hidden="1">#REF!</definedName>
    <definedName name="BExS8EPC3AI31OWK6QXI0A8DE5G8" hidden="1">#REF!</definedName>
    <definedName name="BExS8GSUS17UY50TEM2AWF36BR9Z" hidden="1">#REF!</definedName>
    <definedName name="BExS8HJRBVG0XI6PWA9KTMJZMQXK" hidden="1">#REF!</definedName>
    <definedName name="BExS8LQTNX922FCMI8FORKMV1ZCD" hidden="1">#REF!</definedName>
    <definedName name="BExS8R51C8RM2FS6V6IRTYO9GA4A" hidden="1">#REF!</definedName>
    <definedName name="BExS8W8G0X4RIQXAZCCLUM05FF9P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70VMB40OE1CEB7FR2ZHFGZ0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WI0A6PSEB8N9GPXF2Z7MWHM" hidden="1">#REF!</definedName>
    <definedName name="BExSA5HP306TN9XJS0TU619DLRR7" hidden="1">#REF!</definedName>
    <definedName name="BExSAA4TQVBEW9YTSAC7IB9WGR0N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NBLBIZ8IEUFS2T4QSMZ9C17" hidden="1">#REF!</definedName>
    <definedName name="BExSAQBHIXGQRNIRGCJMBXUPCZQA" hidden="1">#REF!</definedName>
    <definedName name="BExSARO53OGD61LFNP3JDO1XF90N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LHMDPAU7TLJHXOGAD2L0A74" hidden="1">#REF!</definedName>
    <definedName name="BExSBMOS41ZRLWYLOU29V6Y7YORR" hidden="1">#REF!</definedName>
    <definedName name="BExSBRBXXQMBU1TYDW1BXTEVEPRU" hidden="1">#REF!</definedName>
    <definedName name="BExSBSJ3ANF2O61A9BL34FHJTT8B" hidden="1">#REF!</definedName>
    <definedName name="BExSBUXEB51M2P0M8SDRHL9QR54X" hidden="1">#REF!</definedName>
    <definedName name="BExSC54998WTZ21DSL0R8UN0Y9JH" hidden="1">#REF!</definedName>
    <definedName name="BExSC60N7WR9PJSNC9B7ORCX9NGY" hidden="1">#REF!</definedName>
    <definedName name="BExSC9M353D3EKCXI5GRYJZYPZYZ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D16RWPJ4BKJERNVKGA3W1V8N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BIXJUIZCBQLKJRQH1AG0B5S" hidden="1">#REF!</definedName>
    <definedName name="BExSDJ5ZE3T46HSF6W0OXL80TXQG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63H7HUJLYZJ0NXEM1KH44I9" hidden="1">#REF!</definedName>
    <definedName name="BExSEEHK1VLWD7JBV9SVVVIKQZ3I" hidden="1">#REF!</definedName>
    <definedName name="BExSEHHHBOP6VN02QEIIXTZZ0PLY" hidden="1">#REF!</definedName>
    <definedName name="BExSEJKZLX37P3V33TRTFJ30BFRK" hidden="1">#REF!</definedName>
    <definedName name="BExSELDLCNLC22K1CBYY2RZ8Y7Y4" hidden="1">#REF!</definedName>
    <definedName name="BExSEP9UVOAI6TMXKNK587PQ3328" hidden="1">#REF!</definedName>
    <definedName name="BExSERTMFEOW883CSTRXKMKDYLYP" hidden="1">#REF!</definedName>
    <definedName name="BExSEUIQNNEAT134WVQATAVGMRFA" hidden="1">#REF!</definedName>
    <definedName name="BExSF07QFLZCO4P6K6QF05XG7PH1" hidden="1">#REF!</definedName>
    <definedName name="BExSFEGBTMW0OBIPJY3APAOBM8PM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AO5HNF89ZJF4V1Z78G86A35" hidden="1">#REF!</definedName>
    <definedName name="BExSGE45J27MDUUNXW7Z8Q33UAON" hidden="1">#REF!</definedName>
    <definedName name="BExSGE9LY91Q0URHB4YAMX0UAMYI" hidden="1">#REF!</definedName>
    <definedName name="BExSGEEWSM6V6B3J3F29MN7WAH14" hidden="1">#REF!</definedName>
    <definedName name="BExSGJT4LF1CNH5RN5GZ373ISW9D" hidden="1">#REF!</definedName>
    <definedName name="BExSGJT53C96T5X3DDYKREFQ3E43" hidden="1">#REF!</definedName>
    <definedName name="BExSGLB2URTLBCKBB4Y885W925F2" hidden="1">#REF!</definedName>
    <definedName name="BExSGMCY5P22GJ0H62UFU6BACCLK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4HLTQVL4MI545VJL4WFN9U2" hidden="1">#REF!</definedName>
    <definedName name="BExSH4HMJS0TXSYHRWJRFTJ7NOSN" hidden="1">#REF!</definedName>
    <definedName name="BExSHAHFHS7MMNJR8JPVABRGBVIT" hidden="1">#REF!</definedName>
    <definedName name="BExSHDS3RJMD6MEJ67RL63M0SEIC" hidden="1">#REF!</definedName>
    <definedName name="BExSHGH88QZWW4RNAX4YKAZ5JEBL" hidden="1">#REF!</definedName>
    <definedName name="BExSHN2JRKKQEADGHBHZF2SGS9TG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OOMC43GH95KQ1PJ86MN9XDF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H4RYNIJUG1BP7SBR6ABUA3" hidden="1">#REF!</definedName>
    <definedName name="BExTUWXFQHINU66YG82BI20ATMB5" hidden="1">#REF!</definedName>
    <definedName name="BExTUY9WNSJ91GV8CP0SKJTEIV82" hidden="1">[4]Table!#REF!</definedName>
    <definedName name="BExTUZBQ7RTGA0D7ATUCJPKBCKZ3" hidden="1">#REF!</definedName>
    <definedName name="BExTV3TK7O89PVANJ8XVIYML03S4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VOCJYMBYKUD55MVHGBEXLWEQ" hidden="1">#REF!</definedName>
    <definedName name="BExTVTAIPTDZAARFGSL4I6JG6VFG" hidden="1">#REF!</definedName>
    <definedName name="BExTVTLH2E1SH7Z2XBYHUOQBWWLI" hidden="1">#REF!</definedName>
    <definedName name="BExTVZQLP9VFLEYQ9280W13X7E8K" hidden="1">#REF!</definedName>
    <definedName name="BExTW84PB6HNWXE7CC1UYDTWS2OM" hidden="1">#REF!</definedName>
    <definedName name="BExTW8FH45G3QQVEC7JTXR407Q6W" hidden="1">#REF!</definedName>
    <definedName name="BExTWB4LA1PODQOH4LDTHQKBN16K" hidden="1">#REF!</definedName>
    <definedName name="BExTWFX8OYD9IX59PTP73YAC8O9G" hidden="1">#REF!</definedName>
    <definedName name="BExTWI0Q8AWXUA3ZN7I5V3QK2KM1" hidden="1">#REF!</definedName>
    <definedName name="BExTWI0R31187AOWYLZ1W1WNI84K" hidden="1">#REF!</definedName>
    <definedName name="BExTWIMBVN7N336HCBCIL6WXZABQ" hidden="1">#REF!</definedName>
    <definedName name="BExTWJTGTEM42YMMOXES1DOPT9UG" hidden="1">#REF!</definedName>
    <definedName name="BExTWJTIA3WUW1PUWXAOP9O8NKLZ" hidden="1">#REF!</definedName>
    <definedName name="BExTWP7OTGN3YMG0R0SCXUI7XMQK" hidden="1">#REF!</definedName>
    <definedName name="BExTWV7H9BYB6FNGG6ZPHYBL1XCL" hidden="1">#REF!</definedName>
    <definedName name="BExTWW95OX07FNA01WF5MSSSFQLX" hidden="1">#REF!</definedName>
    <definedName name="BExTX0045GNSE8XZS4HXKIAT1QAF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XY0NF5RAQAN09O16K0OVJUH5" hidden="1">#REF!</definedName>
    <definedName name="BExTY1WXTBXUD0M1NWE12NMAUGCO" hidden="1">#REF!</definedName>
    <definedName name="BExTY5T62H651VC86QM4X7E28JVA" hidden="1">#REF!</definedName>
    <definedName name="BExTY8T41OBZ32MRCWT76H4XO1YE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YP37UIY2X3YBMOW8844OH4W" hidden="1">#REF!</definedName>
    <definedName name="BExU02QNT4LT7H9JPUC4FXTLVGZT" hidden="1">#REF!</definedName>
    <definedName name="BExU091A10QVE7583Q5CAHW138RD" hidden="1">#REF!</definedName>
    <definedName name="BExU096QF55JZ1QSXCJSZK2N0CUU" hidden="1">#REF!</definedName>
    <definedName name="BExU0AZGEWP42I1W4WYQVWZYVJ5Q" hidden="1">#REF!</definedName>
    <definedName name="BExU0BFJJQO1HJZKI14QGOQ6JROO" hidden="1">#REF!</definedName>
    <definedName name="BExU0FH5WTGW8MRFUFMDDSMJ6YQ5" hidden="1">#REF!</definedName>
    <definedName name="BExU0FMLYKBHXH0JHAD0FA64EF92" hidden="1">#REF!</definedName>
    <definedName name="BExU0GDOIL9U33QGU9ZU3YX3V1I4" hidden="1">#REF!</definedName>
    <definedName name="BExU0HKTO8WJDQDWRTUK5TETM3HS" hidden="1">#REF!</definedName>
    <definedName name="BExU0IH77JP4SP6HL6YLX7MJLGC0" hidden="1">#REF!</definedName>
    <definedName name="BExU0MTJQPE041ZN7H8UKGV6MZT7" hidden="1">#REF!</definedName>
    <definedName name="BExU0RM6KP9K688D1J5CPLXKDNMT" hidden="1">#REF!</definedName>
    <definedName name="BExU0ZUUFYHLUK4M4E8GLGIBBNT0" hidden="1">#REF!</definedName>
    <definedName name="BExU10R7P88BOL6O9Q8UEFM6DMG2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DN4RELJSQTQUF8YK7BNGXKO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941Z7GTMQ5O1VVPEU7YRR7P" hidden="1">#REF!</definedName>
    <definedName name="BExU2LP8UVK1OVN0YS2HHY1I55G6" hidden="1">#REF!</definedName>
    <definedName name="BExU2M5CK6XK55UIHDVYRXJJJRI4" hidden="1">#REF!</definedName>
    <definedName name="BExU2TXVT25ZTOFQAF6CM53Z1RLF" hidden="1">#REF!</definedName>
    <definedName name="BExU2X8JOY8T52SWTPTUKV7K8FG8" hidden="1">#REF!</definedName>
    <definedName name="BExU2XZLYIU19G7358W5T9E87AFR" hidden="1">#REF!</definedName>
    <definedName name="BExU3B66MCKJFSKT3HL8B5EJGVX0" hidden="1">#REF!</definedName>
    <definedName name="BExU3D9R4DRJADX0E7E2OZ3T6J9D" hidden="1">#REF!</definedName>
    <definedName name="BExU3HX1IEJGNDJI6N6CLR8ZJK9D" hidden="1">#REF!</definedName>
    <definedName name="BExU3QWQVA35KFNEQYRLU0ZG2TZ0" hidden="1">#REF!</definedName>
    <definedName name="BExU3UNI9NR1RNZR07NSLSZMDOQQ" hidden="1">#REF!</definedName>
    <definedName name="BExU401R18N6XKZKL7CNFOZQCM14" hidden="1">#REF!</definedName>
    <definedName name="BExU42QVGY7TK39W1BIN6CDRG2OE" hidden="1">#REF!</definedName>
    <definedName name="BExU47OZMS6TCWMEHHF0UCSFLLPI" hidden="1">#REF!</definedName>
    <definedName name="BExU4D3610KMI0TY4FQOWRP8D0NC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MIZMMFZZWTK4WHGFZSMWPS8" hidden="1">#REF!</definedName>
    <definedName name="BExU4NA00RRRBGRT6TOB0MXZRCRZ" hidden="1">#REF!</definedName>
    <definedName name="BExU4VD6L1LT3K3BT31XBLCG7ADL" hidden="1">#REF!</definedName>
    <definedName name="BExU529CJ5AWHU0WNPZUYLVVT9GO" hidden="1">#REF!</definedName>
    <definedName name="BExU529I6YHVOG83TJHWSILIQU1S" hidden="1">#REF!</definedName>
    <definedName name="BExU54T5408L0T8QJ5J136RF5TNS" hidden="1">#REF!</definedName>
    <definedName name="BExU57YCIKPRD8QWL6EU0YR3NG3J" hidden="1">#REF!</definedName>
    <definedName name="BExU5DSTBWXLN6E59B757KRWRI6E" hidden="1">#REF!</definedName>
    <definedName name="BExU5N8L0E2WDEBA4ITD4A8FT8ON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69O9ZSZV52M8VEUTMV8YE9G" hidden="1">#REF!</definedName>
    <definedName name="BExU66KMFBAP8JCVG9VM1RD1TNFF" hidden="1">#REF!</definedName>
    <definedName name="BExU67BIP4IDGLTCZMUKNEA7DFWZ" hidden="1">#REF!</definedName>
    <definedName name="BExU68IOM3CB3TACNAE9565TW7SH" hidden="1">#REF!</definedName>
    <definedName name="BExU6AM82KN21E82HMWVP3LWP9IL" hidden="1">#REF!</definedName>
    <definedName name="BExU6CEYFZTRLN35I9B2K2XY6463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MWL30NHY8I1G97R2SU1TD1Y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7L1ZM2BRJB4M5RWTLREPRBO" hidden="1">#REF!</definedName>
    <definedName name="BExU79OGIBADDY10U50I4GTGBQU7" hidden="1">#REF!</definedName>
    <definedName name="BExU7BBTUF8BQ42DSGM94X5TG5GF" hidden="1">#REF!</definedName>
    <definedName name="BExU7DVMNLPZ8DIZKTOS0GLZESXN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7VUWIK7942LR3XULMKX3BJWZ" hidden="1">#REF!</definedName>
    <definedName name="BExU80I6AE5OU7P7F5V7HWIZBJ4P" hidden="1">#REF!</definedName>
    <definedName name="BExU85AUW6RSKQIVXFO60KKE5T20" hidden="1">#REF!</definedName>
    <definedName name="BExU86NB26MCPYIISZ36HADONGT2" hidden="1">#REF!</definedName>
    <definedName name="BExU89XZ24NAEGSD8GN6NKO3596G" hidden="1">#REF!</definedName>
    <definedName name="BExU8CSKAGYZXH10ZB9JYWJ55VN7" hidden="1">#REF!</definedName>
    <definedName name="BExU8FSAUP9TUZ1NO9WXK80QPHWV" hidden="1">#REF!</definedName>
    <definedName name="BExU8FSGATXULCM675VF1KYAHGP1" hidden="1">#REF!</definedName>
    <definedName name="BExU8KFLAN778MBN93NYZB0FV30G" hidden="1">#REF!</definedName>
    <definedName name="BExU8S2O68RLH6LUDGJKFXMKKE5J" hidden="1">#REF!</definedName>
    <definedName name="BExU8UX9JX3XLB47YZ8GFXE0V7R2" hidden="1">#REF!</definedName>
    <definedName name="BExU8V2QEONF9R0X2D3R15MZ0GVY" hidden="1">#REF!</definedName>
    <definedName name="BExU96M1J7P9DZQ3S9H0C12KGYTW" hidden="1">#REF!</definedName>
    <definedName name="BExU9B98E0WUJ89KDTIKL2K0JEM7" hidden="1">#REF!</definedName>
    <definedName name="BExU9DSZZ922GRCFS5L7FDMLCU2Z" hidden="1">#REF!</definedName>
    <definedName name="BExU9F05OR1GZ3057R6UL3WPEIYI" hidden="1">#REF!</definedName>
    <definedName name="BExU9F06025RW533KHBW7BCY0OZA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MCEZD7UD7CN1D962LQXVZWJ" hidden="1">#REF!</definedName>
    <definedName name="BExU9RW36I5Z6JIXUIUB3PJH86LT" hidden="1">#REF!</definedName>
    <definedName name="BExUA0VSRP8N2VBX1GZWSUYFJJKC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9F8VAG0F79PF3T4YPN2CKFG" hidden="1">#REF!</definedName>
    <definedName name="BExUAFV4JMBSM2SKBQL9NHL0NIBS" hidden="1">#REF!</definedName>
    <definedName name="BExUAMWQODKBXMRH1QCMJLJBF8M7" hidden="1">#REF!</definedName>
    <definedName name="BExUAX8WS5OPVLCDXRGKTU2QMTFO" hidden="1">#REF!</definedName>
    <definedName name="BExUB33FJHDI3XKPQSVL75HO9RQ3" hidden="1">#REF!</definedName>
    <definedName name="BExUB3JHDL430WKBOVB9KNTSWU3Q" hidden="1">#REF!</definedName>
    <definedName name="BExUB8HLEXSBVPZ5AXNQEK96F1N4" hidden="1">#REF!</definedName>
    <definedName name="BExUBBC13QIXG5NEJW7FON03YNTY" hidden="1">#REF!</definedName>
    <definedName name="BExUBCDVZIEA7YT0LPSMHL5ZSERQ" hidden="1">#REF!</definedName>
    <definedName name="BExUBHMM4BD9SY7PR3B61OBSGADF" hidden="1">#REF!</definedName>
    <definedName name="BExUBL83ED0P076RN9RJ8P1MZ299" hidden="1">#REF!</definedName>
    <definedName name="BExUBN64LPXX4Z738WO97YQ5MXMX" hidden="1">#REF!</definedName>
    <definedName name="BExUBNRVHXRIJBHKA2TWL10IFYUF" hidden="1">#REF!</definedName>
    <definedName name="BExUBPV8GB3LLCKQZCK9OFOFPN4G" hidden="1">#REF!</definedName>
    <definedName name="BExUC0T5REFUTCIJ636AOEV8EDM4" hidden="1">#REF!</definedName>
    <definedName name="BExUC623BDYEODBN0N4DO6PJQ7NU" hidden="1">#REF!</definedName>
    <definedName name="BExUC8WH8TCKBB5313JGYYQ1WFLT" hidden="1">#REF!</definedName>
    <definedName name="BExUCAEGQZ6PB4AG64761OAR17RY" hidden="1">#REF!</definedName>
    <definedName name="BExUCFCDK6SPH86I6STXX8X3WMC4" hidden="1">#REF!</definedName>
    <definedName name="BExUCL1DHP1FF5YW51XZYSLVJDYO" hidden="1">#REF!</definedName>
    <definedName name="BExUCLC6AQ5KR6LXSAXV4QQ8ASVG" hidden="1">#REF!</definedName>
    <definedName name="BExUD4IOJ12X3PJG5WXNNGDRCKAP" hidden="1">#REF!</definedName>
    <definedName name="BExUD9WX9BWK72UWVSLYZJLAY5VY" hidden="1">#REF!</definedName>
    <definedName name="BExUDEV0CYVO7Y5IQQBEJ6FUY9S6" hidden="1">#REF!</definedName>
    <definedName name="BExUDQ3JPLF15XXZMZ6T43VLXCV3" hidden="1">#REF!</definedName>
    <definedName name="BExUDWOXQGIZW0EAIIYLQUPXF8YV" hidden="1">#REF!</definedName>
    <definedName name="BExUE5OMY7OAJQ9WR8C8HG311ORP" hidden="1">#REF!</definedName>
    <definedName name="BExUECVKACNDDIPU4NCRHUE18TMK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R15ITEN8TF2H5MGLG77YNGFE" hidden="1">#REF!</definedName>
    <definedName name="BExVR8NAH73TVNEQ6TXX8GAYA4RX" hidden="1">#REF!</definedName>
    <definedName name="BExVRB1L1ON19OO3430OJRVQ7IS4" hidden="1">#REF!</definedName>
    <definedName name="BExVRDL794MTLJARXI7IK1C3ZMRC" hidden="1">#REF!</definedName>
    <definedName name="BExVS6TAND82CBJNY4L4SO9LKEMV" hidden="1">#REF!</definedName>
    <definedName name="BExVSL787C8E4HFQZ2NVLT35I2XV" hidden="1">#REF!</definedName>
    <definedName name="BExVSTFTVV14SFGHQUOJL5SQ5TX9" hidden="1">#REF!</definedName>
    <definedName name="BExVSXHL758H1W6PHCNCHEJKS9PE" hidden="1">#REF!</definedName>
    <definedName name="BExVT3MPE8LQ5JFN3HQIFKSQ80U4" hidden="1">#REF!</definedName>
    <definedName name="BExVT7TRK3NZHPME2TFBXOF1WBR9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D2IHA8DDABE4BQ4KSH75K5T" hidden="1">#REF!</definedName>
    <definedName name="BExVTDDAAGUDTUEY4M4EWAHQA0PH" hidden="1">#REF!</definedName>
    <definedName name="BExVTGTF4423HWT0GLQQ7BU9OUDD" hidden="1">#REF!</definedName>
    <definedName name="BExVTMCZOMGLQ9FICING2LT052IO" hidden="1">#REF!</definedName>
    <definedName name="BExVTNESHPVG0A0KZ7BRX26MS0PF" hidden="1">#REF!</definedName>
    <definedName name="BExVTTJVTNRSBHBTUZ78WG2JM5MK" hidden="1">#REF!</definedName>
    <definedName name="BExVTUAYUR922VXBNO4MN569BULR" hidden="1">#REF!</definedName>
    <definedName name="BExVTW3OZ04QHKTFPPDM5JDNT6C1" hidden="1">#REF!</definedName>
    <definedName name="BExVTX5ED5JNDA2L93I3H4THLE68" hidden="1">#REF!</definedName>
    <definedName name="BExVTXLMYR87BC04D1ERALPUFVPG" hidden="1">#REF!</definedName>
    <definedName name="BExVU5JI6YFNKZU37F6Z6UFESE58" hidden="1">#REF!</definedName>
    <definedName name="BExVU6QMM5J49S1312H8AMNK3Y8U" hidden="1">#REF!</definedName>
    <definedName name="BExVUASFE51N519NI83RHBFV5K4T" hidden="1">#REF!</definedName>
    <definedName name="BExVUL9V3H8ZF6Y72LQBBN639YAA" hidden="1">#REF!</definedName>
    <definedName name="BExVUQISM6N3HO3F8UV4UZU23ZG3" hidden="1">#REF!</definedName>
    <definedName name="BExVV5T14N2HZIK7HQ4P2KG09U0J" hidden="1">#REF!</definedName>
    <definedName name="BExVV7R410VYLADLX9LNG63ID6H1" hidden="1">#REF!</definedName>
    <definedName name="BExVVA033OB71P301YYKYS90S2LK" hidden="1">#REF!</definedName>
    <definedName name="BExVVBY5O3ZD46KYDXAM0908EMCE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Y4KQ07JKZTVQZHFC7PAPNEB" hidden="1">#REF!</definedName>
    <definedName name="BExVW1Q2E4ST9EFZYHJ9VLUYWS4D" hidden="1">#REF!</definedName>
    <definedName name="BExVW265MLDNYFTF38HYMKG4U6JO" hidden="1">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N5G4LGZVNL6406LJFVPAV1U" hidden="1">#REF!</definedName>
    <definedName name="BExVWPUKXYOOS4BUBA2DTW2AZDEN" hidden="1">#REF!</definedName>
    <definedName name="BExVWYU8EK669NP172GEIGCTVPPA" hidden="1">#REF!</definedName>
    <definedName name="BExVX3HJPV9ZPAY12RMBV261NE68" hidden="1">#REF!</definedName>
    <definedName name="BExVX3XN2DRJKL8EDBIG58RYQ36R" hidden="1">#REF!</definedName>
    <definedName name="BExVX96EICARCMSM2CU4JESW628S" hidden="1">#REF!</definedName>
    <definedName name="BExVXHKI6LFYMGWISMPACMO247HL" hidden="1">#REF!</definedName>
    <definedName name="BExVXLX2BZ5EF2X6R41BTKRJR1NM" hidden="1">#REF!</definedName>
    <definedName name="BExVXMNXJDPY306P9I39XR2R5CA6" hidden="1">#REF!</definedName>
    <definedName name="BExVXN9INIPPZH2WQAZRMEJ2IJAP" hidden="1">#REF!</definedName>
    <definedName name="BExVXVIB7LDQVO0ZPJDRSIUV1MS8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7N7APOSX562C86T41J73BNN" hidden="1">#REF!</definedName>
    <definedName name="BExVY7XZS7ZEEEI66TWUYUKRGMHJ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ESW4KWQ72XZ6AAT3JSAGMMO" hidden="1">#REF!</definedName>
    <definedName name="BExVZJQVO5LQ0BJH5JEN5NOBIAF6" hidden="1">#REF!</definedName>
    <definedName name="BExVZNXWS91RD7NXV5NE2R3C8WW7" hidden="1">#REF!</definedName>
    <definedName name="BExVZVQGRKQEAAWJ0LTHA1T43AIR" hidden="1">#REF!</definedName>
    <definedName name="BExVZXZH4QOTSUZQQVTP32EMOBY4" hidden="1">#REF!</definedName>
    <definedName name="BExW0386REQRCQCVT9BCX80UPTRY" hidden="1">#REF!</definedName>
    <definedName name="BExW08X7MUCAUZUT84HH2K0HG8JM" hidden="1">#REF!</definedName>
    <definedName name="BExW0BMAX5RE96JS90CKTA954IPX" hidden="1">#REF!</definedName>
    <definedName name="BExW0FYP4WXY71CYUG40SUBG9UWU" hidden="1">#REF!</definedName>
    <definedName name="BExW0HBAR94L0RTT4FLGEJ88FO94" hidden="1">#REF!</definedName>
    <definedName name="BExW0HBC1RMZ2GDGOGDTNAOOFO74" hidden="1">#REF!</definedName>
    <definedName name="BExW0PJY0QT1YYHEOQPDHHNJJOC5" hidden="1">#REF!</definedName>
    <definedName name="BExW0RI61B4VV0ARXTFVBAWRA1C5" hidden="1">#REF!</definedName>
    <definedName name="BExW17OS1CVB65XKN3KDTQ7PNRN7" hidden="1">#REF!</definedName>
    <definedName name="BExW1AOJLUZZQUH1EQZTMSKQ0TPK" hidden="1">#REF!</definedName>
    <definedName name="BExW1BVUYQTKMOR56MW7RVRX4L1L" hidden="1">#REF!</definedName>
    <definedName name="BExW1F1220628FOMTW5UAATHRJHK" hidden="1">#REF!</definedName>
    <definedName name="BExW1TKA0Z9OP2DTG50GZR5EG8C7" hidden="1">#REF!</definedName>
    <definedName name="BExW1U0JLKQ094DW5MMOI8UHO09V" hidden="1">#REF!</definedName>
    <definedName name="BExW1XB80O4F2CEWO8Z3UJMO8LW9" hidden="1">#REF!</definedName>
    <definedName name="BExW22PGTQTO5C5TK1RQUWPR4X8X" hidden="1">#REF!</definedName>
    <definedName name="BExW27CKTHXIQCUL3RSLAFEQV8VT" hidden="1">#REF!</definedName>
    <definedName name="BExW283NP9D366XFPXLGSCI5UB0L" hidden="1">#REF!</definedName>
    <definedName name="BExW29WF535OHEG91SW5OF7MQBU2" hidden="1">#REF!</definedName>
    <definedName name="BExW2H3C8WJSBW5FGTFKVDVJC4CL" hidden="1">#REF!</definedName>
    <definedName name="BExW2MSCKPGF5K3I7TL4KF5ISUOL" hidden="1">#REF!</definedName>
    <definedName name="BExW2SMO90FU9W8DVVES6Q4E6BZR" hidden="1">#REF!</definedName>
    <definedName name="BExW2WOG0Q404AU59H65OAX7B037" hidden="1">#REF!</definedName>
    <definedName name="BExW33VD3H3Y0RP9OBXCVM69BRF7" hidden="1">#REF!</definedName>
    <definedName name="BExW35YV9V70DFOPLUGI2W7IYOU2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3WXSRE9G2LU0DLZAETXZVNP5" hidden="1">#REF!</definedName>
    <definedName name="BExW4217ZHL9VO39POSTJOD090WU" hidden="1">#REF!</definedName>
    <definedName name="BExW4GPW71EBF8XPS2QGVQHBCDX3" hidden="1">#REF!</definedName>
    <definedName name="BExW4JKC5837JBPCOJV337ZVYYY3" hidden="1">#REF!</definedName>
    <definedName name="BExW4L7R1NVUKEQSVWZPXWCI6NVN" hidden="1">#REF!</definedName>
    <definedName name="BExW4QR9FV9MP5K610THBSM51RYO" hidden="1">#REF!</definedName>
    <definedName name="BExW4S980QVHHT7SZ0CMVH1Z25PN" hidden="1">#REF!</definedName>
    <definedName name="BExW4VUPCAA008J7K0SQGU9O1S4X" hidden="1">#REF!</definedName>
    <definedName name="BExW4Z029R9E19ZENN3WEA3VDAD1" hidden="1">#REF!</definedName>
    <definedName name="BExW5AZNT6IAZGNF2C879ODHY1B8" hidden="1">#REF!</definedName>
    <definedName name="BExW5EFO6R6U4UQLT4G2G4W9SX94" hidden="1">#REF!</definedName>
    <definedName name="BExW5L10XQRRSNOQ3MCQG2MG2F3K" hidden="1">#REF!</definedName>
    <definedName name="BExW5NQ4UW47QG9XNTURUHTW58ZK" hidden="1">#REF!</definedName>
    <definedName name="BExW5WPU27WD4NWZOT0ZEJIDLX5J" hidden="1">#REF!</definedName>
    <definedName name="BExW5X64UZDAB8GEIIQBWQV66NV9" hidden="1">#REF!</definedName>
    <definedName name="BExW61NYOHBXEBCZ80ZJTB38E7BS" hidden="1">#REF!</definedName>
    <definedName name="BExW64T5GUYKW4V1314DJGUR4ABG" hidden="1">#REF!</definedName>
    <definedName name="BExW660AV1TUV2XNUPD65RZR3QOO" hidden="1">#REF!</definedName>
    <definedName name="BExW66LVVZK656PQY1257QMHP2AY" hidden="1">#REF!</definedName>
    <definedName name="BExW6CG7TW6Q5W1UQO82JU3MC3X0" hidden="1">#REF!</definedName>
    <definedName name="BExW6EJPHAP1TWT380AZLXNHR22P" hidden="1">#REF!</definedName>
    <definedName name="BExW6G1PJ38H10DVLL8WPQ736OEB" hidden="1">#REF!</definedName>
    <definedName name="BExW6QE0VJ5RRAQZB4SWWF8JTHCL" hidden="1">#REF!</definedName>
    <definedName name="BExW6WJ2VW51JNF32JZF98WJDRR3" hidden="1">#REF!</definedName>
    <definedName name="BExW6Y132LC7MVBAWTQ8XVTTQOMU" hidden="1">#REF!</definedName>
    <definedName name="BExW6YXEJFD9X8NZ1IVB2WRO76GL" hidden="1">#REF!</definedName>
    <definedName name="BExW6ZDK809VN4BUMVMT00ML577J" hidden="1">#REF!</definedName>
    <definedName name="BExW70VIBTDH4Y9IMIIDPDG14APZ" hidden="1">#REF!</definedName>
    <definedName name="BExW74MG1WIOS7FRGX4CXWYNPZV1" hidden="1">#REF!</definedName>
    <definedName name="BExW75Z2SCTCGSPQIBZGVQL6SNIM" hidden="1">#REF!</definedName>
    <definedName name="BExW794A74Z5F2K8LVQLD6VSKXUE" hidden="1">#REF!</definedName>
    <definedName name="BExW7AWZZV1OEIASQETJ915RERBR" hidden="1">#REF!</definedName>
    <definedName name="BExW7C4715NXIEFL1TVBKLS20OWY" hidden="1">#REF!</definedName>
    <definedName name="BExW7NSY9CQA1O23DAZ9TYTC0PAO" hidden="1">#REF!</definedName>
    <definedName name="BExW7Q79RJWXCSWJIY4GLGGQXX5G" hidden="1">#REF!</definedName>
    <definedName name="BExW7YALF5KZ5R3WBMBOBBTP8SNP" hidden="1">#REF!</definedName>
    <definedName name="BExW89DT2OUQ24LOFUS7BMP44P4B" hidden="1">#REF!</definedName>
    <definedName name="BExW8EXBPUU9SUPXSZF88AMAGUKK" hidden="1">#REF!</definedName>
    <definedName name="BExW8K0SSIPSKBVP06IJ71600HJZ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G39X58B5FGJEE8EY65TJ80A" hidden="1">#REF!</definedName>
    <definedName name="BExW9JZK2CSFMKED1TX7YD9FRDO3" hidden="1">#REF!</definedName>
    <definedName name="BExW9PDRF5JB7SW95RD8G2JBW0CK" hidden="1">#REF!</definedName>
    <definedName name="BExW9POK1KIOI0ALS5MZIKTDIYMA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2KHYIH2YZ9LRLDZYFPNPEDY" hidden="1">#REF!</definedName>
    <definedName name="BExXM3GUNXVDM82KUR17NNUMQCNI" hidden="1">#REF!</definedName>
    <definedName name="BExXMA28M8SH7MKIGETSDA72WUIZ" hidden="1">#REF!</definedName>
    <definedName name="BExXMOLHIAHDLFSA31PUB36SC3I9" hidden="1">#REF!</definedName>
    <definedName name="BExXMPSLRQ7FSTCU96KYEXU9HN74" hidden="1">#REF!</definedName>
    <definedName name="BExXMQJOPES62X6JP4PVHUE0P5LT" hidden="1">#REF!</definedName>
    <definedName name="BExXMT8T5Z3M2JBQN65X2LKH0YQI" hidden="1">#REF!</definedName>
    <definedName name="BExXMVCBC5IVFP9NBTD1UR5FEAKQ" hidden="1">#REF!</definedName>
    <definedName name="BExXMVN31HXK2AUROH56FXHY43G1" hidden="1">#REF!</definedName>
    <definedName name="BExXN1XNO7H60M9X1E7EVWFJDM5N" hidden="1">#REF!</definedName>
    <definedName name="BExXN22ZOTIW49GPLWFYKVM90FNZ" hidden="1">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PM24UN2PGVL9D1TUBFRIKR4" hidden="1">#REF!</definedName>
    <definedName name="BExXNSLYWITH4246M4YVOUIV04ZJ" hidden="1">#REF!</definedName>
    <definedName name="BExXNU97K0ZY4OLF4CGLL1W5L4PG" hidden="1">#REF!</definedName>
    <definedName name="BExXNWYB165VO9MHARCL5WLCHWS0" hidden="1">#REF!</definedName>
    <definedName name="BExXO1G5TG80TSHNS86X0DXO6YHY" hidden="1">#REF!</definedName>
    <definedName name="BExXO278QHQN8JDK5425EJ615ECC" hidden="1">#REF!</definedName>
    <definedName name="BExXO6E9ABFOYA2LVN6RLW4BO9G6" hidden="1">#REF!</definedName>
    <definedName name="BExXO6ZP85325PSLSXWM38N73O6V" hidden="1">#REF!</definedName>
    <definedName name="BExXOHSAD2NSHOLLMZ2JWA4I3I1R" hidden="1">#REF!</definedName>
    <definedName name="BExXOJA94ZQL7IUO3K3CGARHOFCF" hidden="1">#REF!</definedName>
    <definedName name="BExXOJQBVBDGLVEYZAE7AL8F0VWX" hidden="1">#REF!</definedName>
    <definedName name="BExXOMQ9421Y32TZ81U6YGIP35QU" hidden="1">#REF!</definedName>
    <definedName name="BExXOYPU6MG1T4E2M92R7X3EBVWW" hidden="1">#REF!</definedName>
    <definedName name="BExXP80B5FGA00JCM7UXKPI3PB7Y" hidden="1">#REF!</definedName>
    <definedName name="BExXP85M4WXYVN1UVHUTOEKEG5XS" hidden="1">#REF!</definedName>
    <definedName name="BExXPCSXFL0PCQXL5E8S0Z6WW3A1" hidden="1">#REF!</definedName>
    <definedName name="BExXPDUMN4B85QFXGPSJPII52QR3" hidden="1">#REF!</definedName>
    <definedName name="BExXPEAVHWAN6LRIOGO6TECIF9O9" hidden="1">#REF!</definedName>
    <definedName name="BExXPELOTHOAG0OWILLAH94OZV5J" hidden="1">#REF!</definedName>
    <definedName name="BExXPGZSWPZXNGK1PUDR5DGLVKWX" hidden="1">#REF!</definedName>
    <definedName name="BExXPS31W1VD2NMIE4E37LHVDF0L" hidden="1">#REF!</definedName>
    <definedName name="BExXPU1A5D4BCYSQ4TT3ZFXO0404" hidden="1">#REF!</definedName>
    <definedName name="BExXPUMU4BLFWI2L0MHMM5F3OUPL" hidden="1">#REF!</definedName>
    <definedName name="BExXPZKYEMVF5JOC14HYOOYQK6JK" hidden="1">#REF!</definedName>
    <definedName name="BExXQ06J7OF0O2FO4WR0QK93RJ17" hidden="1">#REF!</definedName>
    <definedName name="BExXQ5Q1IOJYYPOE164FCU3QI1WZ" hidden="1">#REF!</definedName>
    <definedName name="BExXQ7DH8CP1JUXABF521RQSP013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HPNAFE4M6C2HYRCQNIU9D31" hidden="1">#REF!</definedName>
    <definedName name="BExXQJIEF5R3QQ6D8HO3NGPU0IQC" hidden="1">#REF!</definedName>
    <definedName name="BExXQMYEOGRO69K9BLZF14USRMVP" hidden="1">#REF!</definedName>
    <definedName name="BExXQS1SGPIQX0ESRMCECOYMUQQJ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HIY77F53DUYX7CMZPXGRDAG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S63O4OMWMNXXAODZQFSDG33N" hidden="1">#REF!</definedName>
    <definedName name="BExXSBY0S70HRJ1R0POASBK3RJTG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9YI5M3V91S72X6KLNVR7OUG" hidden="1">#REF!</definedName>
    <definedName name="BExXTHLRNL82GN7KZY3TOLO508N7" hidden="1">#REF!</definedName>
    <definedName name="BExXTII5DPSAW0AKZN3D5OT18HLW" hidden="1">#REF!</definedName>
    <definedName name="BExXTINEGPKZ75DCUCEF3QOV6OES" hidden="1">#REF!</definedName>
    <definedName name="BExXTKAV4Y4JQ7D62LKGD89F9WMF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4J2QZ3XVB4ZL6H56RV5HZW4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RWOVVD5HKVMM3VBFS7FYJ5X" hidden="1">#REF!</definedName>
    <definedName name="BExXUUR465S741ZGW63DD4QT0UQQ" hidden="1">#REF!</definedName>
    <definedName name="BExXUYND6EJO7CJ5KRICV4O1JNWK" hidden="1">#REF!</definedName>
    <definedName name="BExXV1HWKTB46UXT08JLMPP8P4SP" hidden="1">#REF!</definedName>
    <definedName name="BExXV6FWG4H3S2QEUJZYIXILNGJ7" hidden="1">#REF!</definedName>
    <definedName name="BExXVG6LQI4F2IOTZ4XZATJIBIJG" hidden="1">#REF!</definedName>
    <definedName name="BExXVK87BMMO6LHKV0CFDNIQVIBS" hidden="1">#REF!</definedName>
    <definedName name="BExXVKZ9WXPGL6IVY6T61IDD771I" hidden="1">#REF!</definedName>
    <definedName name="BExXVRF5VALL2HSTSRNKE8KRSDZO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CEFPM2UFC3LC37H8GSMA5GA" hidden="1">#REF!</definedName>
    <definedName name="BExXWDWDWU1EL9TR7TCDLWECA5YE" hidden="1">#REF!</definedName>
    <definedName name="BExXWFECA12941BS9KH86R9F6HF1" hidden="1">#REF!</definedName>
    <definedName name="BExXWFP5AYE7EHYTJWBZSQ8PQ0YX" hidden="1">#REF!</definedName>
    <definedName name="BExXWVFIBQT8OY1O41FRFPFGXQHK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CIJC0CJY4J1MZXX5MN1Z4XM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RSRU1E8Z5RK24OUWSQ709Q4" hidden="1">#REF!</definedName>
    <definedName name="BExXXTAL44B8X0JR38BOUCRXVVWY" hidden="1">#REF!</definedName>
    <definedName name="BExXXVUDA98IZTQ6MANKU4MTTDVR" hidden="1">#REF!</definedName>
    <definedName name="BExXXZQNZY6IZI45DJXJK0MQZWA7" hidden="1">#REF!</definedName>
    <definedName name="BExXY0SAZOPJMDG9GOR625UDCCS8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4CKWN3R9HA311KINBA3R2K4" hidden="1">#REF!</definedName>
    <definedName name="BExXZ6QU5C0UMWY7U4BHVZNIPANK" hidden="1">#REF!</definedName>
    <definedName name="BExXZ956VP8KL14I7WZRT5DIAXWV" hidden="1">#REF!</definedName>
    <definedName name="BExXZFVV4YB42AZ3H1I40YG3JAPU" hidden="1">#REF!</definedName>
    <definedName name="BExXZHJ9T2JELF12CHHGD54J1B0C" hidden="1">#REF!</definedName>
    <definedName name="BExXZM14XID3OAA88OURJ7QSZW1E" hidden="1">#REF!</definedName>
    <definedName name="BExXZNJ38CXYSDBZ3M9UCLBHP7OM" hidden="1">#REF!</definedName>
    <definedName name="BExXZOVPCEP495TQSON6PSRQ8XCY" hidden="1">#REF!</definedName>
    <definedName name="BExXZRKU4HS7AC7QB21E0SXEY56F" hidden="1">#REF!</definedName>
    <definedName name="BExXZXKH7NBARQQAZM69Z57IH1MM" hidden="1">#REF!</definedName>
    <definedName name="BExY05T95YHBLI9ZYWFFT2O2B871" hidden="1">#REF!</definedName>
    <definedName name="BExY0C3UBVC4M59JIRXVQ8OWAJC1" hidden="1">#REF!</definedName>
    <definedName name="BExY0GLNRI1GC59PAWFUVWX921AV" hidden="1">#REF!</definedName>
    <definedName name="BExY0KCGOAFS776SPFBR5BV00AF8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VACUMOEGTLOTTNSKS8429F2" hidden="1">#REF!</definedName>
    <definedName name="BExY0XTZLHN49J2JH94BYTKBJLT3" hidden="1">#REF!</definedName>
    <definedName name="BExY11FH9TXHERUYGG8FE50U7H7J" hidden="1">#REF!</definedName>
    <definedName name="BExY12XEZK1CDLO3J0MKU7KTQPG5" hidden="1">#REF!</definedName>
    <definedName name="BExY180UKNW5NIAWD6ZUYTFEH8QS" hidden="1">#REF!</definedName>
    <definedName name="BExY180UYQUQEOZ8BAT4F2BHFZZN" hidden="1">#REF!</definedName>
    <definedName name="BExY1DPTV4LSY9MEOUGXF8X052NA" hidden="1">#REF!</definedName>
    <definedName name="BExY1FIMLW9L499KIE7ZJ706UYLM" hidden="1">#REF!</definedName>
    <definedName name="BExY1GK9ELBEKDD7O6HR6DUO8YGO" hidden="1">#REF!</definedName>
    <definedName name="BExY1NWOXXFV9GGZ3PX444LZ8TVX" hidden="1">#REF!</definedName>
    <definedName name="BExY1ONMI973LYH6W67SZIDXWDA0" hidden="1">#REF!</definedName>
    <definedName name="BExY1UCL0RND63LLSM9X5SFRG117" hidden="1">#REF!</definedName>
    <definedName name="BExY1WAT3937L08HLHIRQHMP2A3H" hidden="1">#REF!</definedName>
    <definedName name="BExY1Y8V49R7ZBK9G67CCI4M22TT" hidden="1">#REF!</definedName>
    <definedName name="BExY1Y8VBIWS1XZPT9UTUQ3K7JV9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2XWT4N97TO3J0T4JQS2ERMGU" hidden="1">#REF!</definedName>
    <definedName name="BExY3BUHF49HBMC20Z30YPLFCPS7" hidden="1">#REF!</definedName>
    <definedName name="BExY3FAME3HIN2RXBJJ7BFZOQELW" hidden="1">#REF!</definedName>
    <definedName name="BExY3HOSK7YI364K15OX70AVR6F1" hidden="1">#REF!</definedName>
    <definedName name="BExY3JXT10HDV8IRQXYNHEEU49VD" hidden="1">#REF!</definedName>
    <definedName name="BExY3PS9FF16S8QWSYU89GM4E8VB" hidden="1">#REF!</definedName>
    <definedName name="BExY3T89AUR83SOAZZ3OMDEJDQ39" hidden="1">#REF!</definedName>
    <definedName name="BExY3WDN8T9CHYNQPYTTD8RQLX2O" hidden="1">#REF!</definedName>
    <definedName name="BExY3YMHKXSM8ZA6J2QVK2F5QV01" hidden="1">#REF!</definedName>
    <definedName name="BExY452KX74F9MCH0QPTJ29TMNBN" hidden="1">#REF!</definedName>
    <definedName name="BExY4DRA1NB56I6KHB22C0U0NKPH" hidden="1">#REF!</definedName>
    <definedName name="BExY4MG771JQ84EMIVB6HQGGHZY7" hidden="1">#REF!</definedName>
    <definedName name="BExY4PQUTBYZGBCOH80JJH5VLRD6" hidden="1">#REF!</definedName>
    <definedName name="BExY4PWCSFB8P3J3TBQB2MD67263" hidden="1">#REF!</definedName>
    <definedName name="BExY4RZW3KK11JLYBA4DWZ92M6LQ" hidden="1">#REF!</definedName>
    <definedName name="BExY4XOVTTNVZ577RLIEC7NZQFIX" hidden="1">#REF!</definedName>
    <definedName name="BExY50JAF5CG01GTHAUS7I4ZLUDC" hidden="1">#REF!</definedName>
    <definedName name="BExY5217F20UUADH8DB9RNDIJW95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S3XD1NJT109CV54IFOHVLQ6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95QVZRGOD851EJP3J0DFALI" hidden="1">#REF!</definedName>
    <definedName name="BExZJMY170JCUU1RWASNZ1HJPRTA" hidden="1">#REF!</definedName>
    <definedName name="BExZJOQR77H0P4SUKVYACDCFBBXO" hidden="1">#REF!</definedName>
    <definedName name="BExZJQ8QH1RQB36OH085UTK5M3MO" hidden="1">#REF!</definedName>
    <definedName name="BExZJS6RG34ODDY9HMZ0O34MEMSB" hidden="1">#REF!</definedName>
    <definedName name="BExZJU4ZJUO53Z0ZDKXRX3KI682X" hidden="1">#REF!</definedName>
    <definedName name="BExZK34NR4BAD7HJAP7SQ926UQP3" hidden="1">#REF!</definedName>
    <definedName name="BExZK3FGPHH5H771U7D5XY7XBS6E" hidden="1">#REF!</definedName>
    <definedName name="BExZKGRIH1C8XY2R7Z1LHBXCBRJC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4AGX7R2BGCKIHMUYN679KSH" hidden="1">#REF!</definedName>
    <definedName name="BExZL6E4YVXRUN7ZGF2BIGIXFR8K" hidden="1">#REF!</definedName>
    <definedName name="BExZLCDWOXSAL3E45Y87GOH1NUUX" hidden="1">#REF!</definedName>
    <definedName name="BExZLGVLMKTPFXG42QYT0PO81G7F" hidden="1">#REF!</definedName>
    <definedName name="BExZLHRZMB1LAT56CZDZRRPS2Q5E" hidden="1">#REF!</definedName>
    <definedName name="BExZLKMK7LRK14S09WLMH7MXSQXM" hidden="1">#REF!</definedName>
    <definedName name="BExZLOIT3KWNZ3JG1H7N0KAMBY8A" hidden="1">#REF!</definedName>
    <definedName name="BExZLT5ZPFGYISDYWOPOK90JLRBR" hidden="1">#REF!</definedName>
    <definedName name="BExZM43VGEN3DOU27TDN790UKTG2" hidden="1">#REF!</definedName>
    <definedName name="BExZM7JVLG0W8EG5RBU915U3SKBY" hidden="1">#REF!</definedName>
    <definedName name="BExZM85FOVUFF110XMQ9O2ODSJUK" hidden="1">#REF!</definedName>
    <definedName name="BExZMEWAD9ATZ35WBEC8KGPNYG2G" hidden="1">#REF!</definedName>
    <definedName name="BExZMF1MMTZ1TA14PZ8ASSU2CBSP" hidden="1">#REF!</definedName>
    <definedName name="BExZMHQPSGDY1AAKUQV9UIDCYF1O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XH4MBNMSMFB2NYA483MAVJG" hidden="1">#REF!</definedName>
    <definedName name="BExZMZQ3RBKDHT5GLFNLS52OSJA0" hidden="1">#REF!</definedName>
    <definedName name="BExZN2F7Y2J2L2LN5WZRG949MS4A" hidden="1">#REF!</definedName>
    <definedName name="BExZN847WUWKRYTZWG9TCQZJS3OL" hidden="1">#REF!</definedName>
    <definedName name="BExZNH3VISFF4NQI11BZDP5IQ7VG" hidden="1">#REF!</definedName>
    <definedName name="BExZNIB2TONEPEGVVJUZ2RCZZA1R" hidden="1">#REF!</definedName>
    <definedName name="BExZNIB2Z0PW4MJVTRVEDQX8NTGC" hidden="1">#REF!</definedName>
    <definedName name="BExZNJ1Y8RSOGU7HCLNI4JJ9WA8U" hidden="1">#REF!</definedName>
    <definedName name="BExZNJYCFYVMAOI62GB2BABK1ELE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EIVPQXLMQIOFZKVB6QU4PL2" hidden="1">#REF!</definedName>
    <definedName name="BExZOETNB1CJ3Y2RKLI1ZK0S8Z6H" hidden="1">#REF!</definedName>
    <definedName name="BExZOGBLV9VKIJSZA9FTH6F6I902" hidden="1">#REF!</definedName>
    <definedName name="BExZOKD6I9EZHEMP6CO81OQGX22V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5Y17JJJSFG6V8OD3DJ0FTUZ" hidden="1">#REF!</definedName>
    <definedName name="BExZP7AIJKLM6C6CSUIIFAHFBNX2" hidden="1">#REF!</definedName>
    <definedName name="BExZPQ0XY507N8FJMVPKCTK8HC9H" hidden="1">#REF!</definedName>
    <definedName name="BExZPWBJ4H8RND8XVKNCJ474L2J6" hidden="1">#REF!</definedName>
    <definedName name="BExZQ37OVBR25U32CO2YYVPZOMR5" hidden="1">#REF!</definedName>
    <definedName name="BExZQ3NT7H06VO0AR48WHZULZB93" hidden="1">#REF!</definedName>
    <definedName name="BExZQ4UZCJR9WSHBTTKAUHG9G707" hidden="1">#REF!</definedName>
    <definedName name="BExZQ50E7U0YTUV7Q0ZP7PQACA4M" hidden="1">#REF!</definedName>
    <definedName name="BExZQ7PJU07SEJMDX18U9YVDC2GU" hidden="1">#REF!</definedName>
    <definedName name="BExZQ97GRS1JT451BUNZG7OVGF7Q" hidden="1">#REF!</definedName>
    <definedName name="BExZQ9CSXQ5DCVUZZM2NWOUAFFXC" hidden="1">#REF!</definedName>
    <definedName name="BExZQJJMGU5MHQOILGXGJPAQI5XI" hidden="1">#REF!</definedName>
    <definedName name="BExZQQLADTH7NY99MD9R1K020CE8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GNSUPG6TBX2L292MP1PLVMU" hidden="1">#REF!</definedName>
    <definedName name="BExZRLR95UFP5ISNWB19RU56ZOIB" hidden="1">#REF!</definedName>
    <definedName name="BExZRP1X6UVLN1UOLHH5VF4STP1O" hidden="1">#REF!</definedName>
    <definedName name="BExZRQ930U6OCYNV00CH5I0Q4LPE" hidden="1">#REF!</definedName>
    <definedName name="BExZRSCL8XPTZV4T1P1KMYVV1FO4" hidden="1">#REF!</definedName>
    <definedName name="BExZRWJP2BUVFJPO8U8ATQEP0LZU" hidden="1">#REF!</definedName>
    <definedName name="BExZRYN6TKLS1N70DLRI2IKWN37Q" hidden="1">#REF!</definedName>
    <definedName name="BExZS1CBTC8QC8S2HIB93A2TPFQA" hidden="1">#REF!</definedName>
    <definedName name="BExZS58KO1ARPFHM18ITD6LLGGKE" hidden="1">#REF!</definedName>
    <definedName name="BExZSI9USDLZAN8LI8M4YYQL24GZ" hidden="1">#REF!</definedName>
    <definedName name="BExZSIQ448384K6WUS5RWZBFVDH3" hidden="1">#REF!</definedName>
    <definedName name="BExZSXUWEBHYPCSL6C8PRBSDWXVH" hidden="1">#REF!</definedName>
    <definedName name="BExZSYRAL38T8SFTHLEC94VZAPTB" hidden="1">#REF!</definedName>
    <definedName name="BExZSZ21VX9ESDG8PFXHDLT82KLO" hidden="1">#REF!</definedName>
    <definedName name="BExZT878DDO0W2Z64XH0ZJTD6222" hidden="1">#REF!</definedName>
    <definedName name="BExZTAQV2QVSZY5Y3VCCWUBSBW9P" hidden="1">#REF!</definedName>
    <definedName name="BExZTC8S1L60TW34BLBQLDKD9RH4" hidden="1">#REF!</definedName>
    <definedName name="BExZTCP3AS1RQUH3NNZGOJY7ORHW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OJ5RMYQZ0IBDI15RKYG0800" hidden="1">#REF!</definedName>
    <definedName name="BExZTT6J3X0TOX0ZY6YPLUVMCW9X" hidden="1">#REF!</definedName>
    <definedName name="BExZTW6ECBRA0BBITWBQ8R93RMCL" hidden="1">#REF!</definedName>
    <definedName name="BExZTY9S2V15TE210IZD9E14C8XF" hidden="1">#REF!</definedName>
    <definedName name="BExZTYQ1JEJ7OY2XU5OVPIV2ST7B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SZSJZU49WES7TCI0N0HW4M5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4OFC4E044NV2AK8G2UA1XAF" hidden="1">#REF!</definedName>
    <definedName name="BExZVBQ29OM0V8XAL3HL0JIM0MMU" hidden="1">#REF!</definedName>
    <definedName name="BExZVCRRWDAEMKOMWLKW8Y589BTB" hidden="1">#REF!</definedName>
    <definedName name="BExZVM7OZWPPRH5YQW50EYMMIW1A" hidden="1">#REF!</definedName>
    <definedName name="BExZVPYGX2C5OSHMZ6F0KBKZ6B1S" hidden="1">#REF!</definedName>
    <definedName name="BExZVW92BIGOE7S7BGNAK369OBAA" hidden="1">#REF!</definedName>
    <definedName name="BExZW0AU4I7JLNENPPOZK56Q23HI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BJB5X13UUAX2SIMRLKUIMJ8" hidden="1">#REF!</definedName>
    <definedName name="BExZWD6STSB5QNJC92S2SKU3VT6X" hidden="1">#REF!</definedName>
    <definedName name="BExZWKZ5N3RDXU8MZ8HQVYYD8O0F" hidden="1">#REF!</definedName>
    <definedName name="BExZWO4ITR24TI60TY7ZB4VTJJ3K" hidden="1">#REF!</definedName>
    <definedName name="BExZWR9P526D8P7O3YN4FHNYNZE3" hidden="1">#REF!</definedName>
    <definedName name="BExZWUF2V4HY3HI8JN9ZVPRWK1H3" hidden="1">#REF!</definedName>
    <definedName name="BExZWX45URTK9KYDJHEXL1OTZ833" hidden="1">#REF!</definedName>
    <definedName name="BExZWZNSZADZVTNSJYY6G7P1I59U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A4YA3LROELPDUCJ8SP9YM0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Z24YQOBUJTDPVU4JE2DI81OU" hidden="1">#REF!</definedName>
    <definedName name="BExZZ2FQA9A8C7CJKMEFQ9VPSLCE" hidden="1">#REF!</definedName>
    <definedName name="BExZZC11LCU64OIXVUB7ZBZD1CVJ" hidden="1">#REF!</definedName>
    <definedName name="BExZZC6HAIITD2LG9VYL7VF2213L" hidden="1">#REF!</definedName>
    <definedName name="BExZZCHAVHW8C2H649KRGVQ0WVRT" hidden="1">#REF!</definedName>
    <definedName name="BExZZIX6S5B1XP9W8ZO3U6RNFYME" hidden="1">#REF!</definedName>
    <definedName name="BExZZNPTNUOI550YW24HE4Z1SDK1" hidden="1">#REF!</definedName>
    <definedName name="BExZZTK54OTLF2YB68BHGOS27GEN" hidden="1">#REF!</definedName>
    <definedName name="BExZZWK0P9DRA6STSZCL4RAZB3DZ" hidden="1">#REF!</definedName>
    <definedName name="BExZZXB3JQQG4SIZS4MRU6NNW7HI" hidden="1">#REF!</definedName>
    <definedName name="BExZZZEMIIFKMLLV4DJKX5TB9R5V" hidden="1">#REF!</definedName>
    <definedName name="d" hidden="1">#REF!</definedName>
    <definedName name="dfdd" hidden="1">#REF!</definedName>
    <definedName name="distbin" hidden="1">#REF!</definedName>
    <definedName name="distvalues" hidden="1">#REF!</definedName>
    <definedName name="EV__EVCOM_OPTIONS__" hidden="1">8</definedName>
    <definedName name="EV__EXPOPTIONS__" hidden="1">1</definedName>
    <definedName name="EV__LASTREFTIME__" hidden="1">"(GMT-08:00)2/27/2013 3:48:42 PM"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54</definedName>
    <definedName name="EV__WBVERSION__" hidden="1">0</definedName>
    <definedName name="EV__WSINFO__" hidden="1">123</definedName>
    <definedName name="fox" hidden="1">#REF!</definedName>
    <definedName name="iQShowHideColumns" hidden="1">"iQShowAll"</definedName>
    <definedName name="oooooooops" hidden="1">#REF!</definedName>
    <definedName name="ooops" hidden="1">#REF!</definedName>
    <definedName name="royalty1" hidden="1">#REF!</definedName>
    <definedName name="SAPBEXhrIndnt" hidden="1">1</definedName>
    <definedName name="SAPBEXrevision" hidden="1">113</definedName>
    <definedName name="SAPBEXsysID" hidden="1">"BWP"</definedName>
    <definedName name="SAPBEXwbID" hidden="1">"8V0J2W1XMRHR300KWCNMIPBMG"</definedName>
    <definedName name="SAPsysID" hidden="1">"708C5W7SBKP804JT78WJ0JNKI"</definedName>
    <definedName name="SAPwbID" hidden="1">"ARS"</definedName>
    <definedName name="슬라이서_EQUIPMENT1">#N/A</definedName>
  </definedNames>
  <calcPr calcId="191028"/>
  <fileRecoveryPr repairLoad="1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1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4" i="21" l="1"/>
  <c r="R84" i="21"/>
  <c r="Q84" i="21"/>
  <c r="P84" i="21"/>
  <c r="O84" i="21"/>
  <c r="N84" i="21"/>
  <c r="M84" i="21"/>
  <c r="L84" i="21"/>
  <c r="K84" i="21"/>
  <c r="J84" i="21"/>
  <c r="I84" i="21"/>
  <c r="H84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N14" i="14"/>
  <c r="AM14" i="14"/>
  <c r="AL14" i="14"/>
  <c r="AK14" i="14"/>
  <c r="AJ14" i="14"/>
  <c r="AI14" i="14"/>
  <c r="AH14" i="14"/>
  <c r="AG14" i="14"/>
  <c r="AF14" i="14"/>
  <c r="AE14" i="14"/>
  <c r="AD14" i="14"/>
  <c r="AC14" i="14"/>
  <c r="AN13" i="14"/>
  <c r="AM13" i="14"/>
  <c r="AL13" i="14"/>
  <c r="AK13" i="14"/>
  <c r="AJ13" i="14"/>
  <c r="AI13" i="14"/>
  <c r="AH13" i="14"/>
  <c r="AG13" i="14"/>
  <c r="AF13" i="14"/>
  <c r="AE13" i="14"/>
  <c r="AD13" i="14"/>
  <c r="AC13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N8" i="14"/>
  <c r="AM8" i="14"/>
  <c r="AL8" i="14"/>
  <c r="AK8" i="14"/>
  <c r="AJ8" i="14"/>
  <c r="AI8" i="14"/>
  <c r="AH8" i="14"/>
  <c r="AG8" i="14"/>
  <c r="AF8" i="14"/>
  <c r="AE8" i="14"/>
  <c r="AD8" i="14"/>
  <c r="AC8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N3" i="14"/>
  <c r="AM3" i="14"/>
  <c r="AL3" i="14"/>
  <c r="AK3" i="14"/>
  <c r="AJ3" i="14"/>
  <c r="AI3" i="14"/>
  <c r="AH3" i="14"/>
  <c r="AG3" i="14"/>
  <c r="AF3" i="14"/>
  <c r="AE3" i="14"/>
  <c r="AD3" i="14"/>
  <c r="AC3" i="1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<sst xmlns="http://schemas.openxmlformats.org/spreadsheetml/2006/main" count="1558" uniqueCount="290">
  <si>
    <t>현황</t>
  </si>
  <si>
    <t>Equipment</t>
  </si>
  <si>
    <t>Check</t>
  </si>
  <si>
    <t>Object</t>
  </si>
  <si>
    <t>Cleaing</t>
  </si>
  <si>
    <t>Rack</t>
  </si>
  <si>
    <t>Inspection</t>
  </si>
  <si>
    <t>HB-B</t>
  </si>
  <si>
    <t>Cleaning</t>
  </si>
  <si>
    <t>O</t>
  </si>
  <si>
    <t>Rack System Preventive Maintenance Check list</t>
  </si>
  <si>
    <t>* 범례: O (정상), X (비정상), ⓧ (조치 완료), NA (해당사항 없음)</t>
  </si>
  <si>
    <t>점검자 :</t>
  </si>
  <si>
    <t>구분</t>
  </si>
  <si>
    <t>Rack # (Floor-Aisle)</t>
  </si>
  <si>
    <t>Check Point</t>
  </si>
  <si>
    <t>1-1</t>
  </si>
  <si>
    <t>1-2</t>
  </si>
  <si>
    <t>1-3</t>
  </si>
  <si>
    <t>1-4</t>
  </si>
  <si>
    <t>1-5</t>
  </si>
  <si>
    <t>2-1</t>
  </si>
  <si>
    <t>2-2</t>
  </si>
  <si>
    <t>2-3</t>
  </si>
  <si>
    <t>2-4</t>
  </si>
  <si>
    <t>2-5</t>
  </si>
  <si>
    <t>점검일</t>
  </si>
  <si>
    <t>점검인원(명)</t>
  </si>
  <si>
    <t>소요시간(hr)</t>
  </si>
  <si>
    <t>KNAPP Lock
Door 상태</t>
  </si>
  <si>
    <t>변형,손상 유무</t>
  </si>
  <si>
    <t>Cable 연결상태 확인</t>
  </si>
  <si>
    <t>동작상태 확인</t>
  </si>
  <si>
    <t>Rail</t>
  </si>
  <si>
    <t>변형,손상,균열 유무</t>
  </si>
  <si>
    <t>도체레일 점검</t>
  </si>
  <si>
    <t>선반 단자 체결 상태 확인</t>
  </si>
  <si>
    <t>크로스 구역 단차상태 확인</t>
  </si>
  <si>
    <t>버퍼부 플레이트 설치부 볼트 풀림</t>
  </si>
  <si>
    <t>AP Repeter</t>
  </si>
  <si>
    <t>통신신호 상태의 유무</t>
  </si>
  <si>
    <t>Reflective Film</t>
  </si>
  <si>
    <t>더러워짐 유무</t>
  </si>
  <si>
    <t>Light Curtain</t>
  </si>
  <si>
    <t>리프트구역 진입장치 변형,손상 유무</t>
  </si>
  <si>
    <t>특이사항</t>
  </si>
  <si>
    <t>Shuttle Preventive Maintenance Check list</t>
  </si>
  <si>
    <t xml:space="preserve">점검자 : </t>
  </si>
  <si>
    <t>Shuttle #</t>
  </si>
  <si>
    <t>Currnt
Collector
Unit</t>
  </si>
  <si>
    <t>변형, 손상 유무</t>
  </si>
  <si>
    <t>마모도 확인</t>
  </si>
  <si>
    <t>정위치 설치 유무</t>
  </si>
  <si>
    <t>종방향 
Wheel</t>
  </si>
  <si>
    <t>마모,변형,풀림 확인</t>
  </si>
  <si>
    <t>횡방향 
Wheel</t>
  </si>
  <si>
    <t>가이드
Wheel</t>
  </si>
  <si>
    <t>Motor</t>
  </si>
  <si>
    <t>소음 및 작동상태 확인</t>
  </si>
  <si>
    <t>Shuttle
Exterior</t>
  </si>
  <si>
    <t>LHD 청결상태</t>
  </si>
  <si>
    <t>내, 외부 청결상태</t>
  </si>
  <si>
    <t>Rotary Encoder</t>
  </si>
  <si>
    <t>SEM</t>
  </si>
  <si>
    <t>내부 청결상태</t>
  </si>
  <si>
    <t>Chain</t>
  </si>
  <si>
    <t>장력 상태 유무</t>
  </si>
  <si>
    <t>Telescope 
arm</t>
  </si>
  <si>
    <t>정상 작동 유무</t>
  </si>
  <si>
    <t>Extension Belt 마모 확인</t>
  </si>
  <si>
    <t>Vario Belt</t>
  </si>
  <si>
    <t>장력상태 및 손상 유무</t>
  </si>
  <si>
    <t>Optical/Inductive
Sensor</t>
  </si>
  <si>
    <t>센서차단 후 작동표시 변화 유무</t>
  </si>
  <si>
    <t>렌즈,반사판의 변형 및 손상 유무</t>
  </si>
  <si>
    <t>설치 부분의 볼트 풀림 유무</t>
  </si>
  <si>
    <t>점검자 : 윤원희 / 구경모</t>
  </si>
  <si>
    <t>Bario Belt</t>
  </si>
  <si>
    <t>변형, 풀림 확인</t>
    <phoneticPr fontId="11" type="noConversion"/>
  </si>
  <si>
    <t>9-1</t>
  </si>
  <si>
    <t>9-2</t>
  </si>
  <si>
    <t>9-3</t>
  </si>
  <si>
    <t>9-4</t>
  </si>
  <si>
    <t>9-5</t>
  </si>
  <si>
    <t>8-1</t>
  </si>
  <si>
    <t>8-2</t>
  </si>
  <si>
    <t>8-3</t>
  </si>
  <si>
    <t>8-4</t>
  </si>
  <si>
    <t>8-5</t>
  </si>
  <si>
    <t>7-1</t>
  </si>
  <si>
    <t>7-2</t>
  </si>
  <si>
    <t>7-3</t>
  </si>
  <si>
    <t>7-4</t>
  </si>
  <si>
    <t>7-5</t>
  </si>
  <si>
    <t>7/1,2</t>
  </si>
  <si>
    <t>7/3,4</t>
  </si>
  <si>
    <t>7/4,5</t>
  </si>
  <si>
    <t>7/7,8</t>
  </si>
  <si>
    <t>7/10,18,21</t>
  </si>
  <si>
    <t>점검자 : 이범열,이민제,김민환,라기원</t>
  </si>
  <si>
    <t>Roller switch</t>
  </si>
  <si>
    <t>INTRALOX</t>
  </si>
  <si>
    <t>벨트 청소</t>
  </si>
  <si>
    <t>벨트 피치 측정</t>
  </si>
  <si>
    <t>3% 늘어남</t>
  </si>
  <si>
    <t>벨트 외관 상태 점검</t>
  </si>
  <si>
    <t>모터 누유 점검</t>
  </si>
  <si>
    <t>랙앤롤 손상, 마모 점검</t>
  </si>
  <si>
    <t>종동 &amp; 구동축 베어링 점검</t>
  </si>
  <si>
    <t>종동 &amp; 구동축 스프라켓의 축, 톱니, 스프라켓 보어 상태</t>
  </si>
  <si>
    <t>종동 &amp; 구동축 스프라켓의 리테이너 링 고정상태</t>
  </si>
  <si>
    <t>하단 롤러 상태</t>
  </si>
  <si>
    <t>벨트롤러 마모 상태</t>
  </si>
  <si>
    <t>정상범위 19.1~16.5mm</t>
  </si>
  <si>
    <t>정상범위 21.488~21mm</t>
  </si>
  <si>
    <t>전/후단 전동 롤러 상태</t>
  </si>
  <si>
    <t>보어 간격 2mm 초과시 완전 마모</t>
  </si>
  <si>
    <t>하부 청소</t>
  </si>
  <si>
    <t>랙앤롤 상부 청소</t>
  </si>
  <si>
    <t>제조사 권장</t>
  </si>
  <si>
    <t>Conveyor</t>
  </si>
  <si>
    <t>Poly belt 상태</t>
  </si>
  <si>
    <t>Ring belt 상태</t>
  </si>
  <si>
    <t>Roller switch 청소</t>
  </si>
  <si>
    <t>롤러 회전 상태</t>
  </si>
  <si>
    <t>롤러 외관 상태</t>
  </si>
  <si>
    <t>구동 전동 롤러 상태</t>
  </si>
  <si>
    <t>실린더 동작 상태</t>
  </si>
  <si>
    <t>솔레노이드 밸브 상태</t>
  </si>
  <si>
    <t>슬라이드바 상태</t>
  </si>
  <si>
    <t>VMS</t>
  </si>
  <si>
    <t>라이트베리어</t>
  </si>
  <si>
    <t>센서, 반사경</t>
  </si>
  <si>
    <t xml:space="preserve">Belt transfer  </t>
  </si>
  <si>
    <t>Toothed belt</t>
  </si>
  <si>
    <t>Poly belt</t>
  </si>
  <si>
    <t>Chain shoe</t>
  </si>
  <si>
    <t>Drive chain</t>
  </si>
  <si>
    <t>모터 누유</t>
  </si>
  <si>
    <t>Motorized roller</t>
  </si>
  <si>
    <t>Toothed belt track</t>
  </si>
  <si>
    <t>Sprocket</t>
  </si>
  <si>
    <t>chain disk</t>
  </si>
  <si>
    <t>Cylinder</t>
  </si>
  <si>
    <t>벨트 돌출부 0.5mm&gt;</t>
  </si>
  <si>
    <t>17~12mm 정상범위</t>
  </si>
  <si>
    <t>체인 텐션</t>
  </si>
  <si>
    <t>Belt conveyor</t>
  </si>
  <si>
    <t>Belt tracking</t>
  </si>
  <si>
    <t>Belt 상태</t>
  </si>
  <si>
    <t>모터 상태 (소음, 누유)</t>
  </si>
  <si>
    <t>Reference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</si>
  <si>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</si>
  <si>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</si>
  <si>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</si>
  <si>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</si>
  <si>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</si>
  <si>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</si>
  <si>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</si>
  <si>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</si>
  <si>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</si>
  <si>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</si>
  <si>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</si>
  <si>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</si>
  <si>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Frequency
(Month)</t>
  </si>
  <si>
    <t>Plan(#)</t>
  </si>
  <si>
    <t>Actual(#)</t>
  </si>
  <si>
    <t>Rate(%)</t>
  </si>
  <si>
    <t>KNAPP</t>
  </si>
  <si>
    <t>Belt drive roller conveyor</t>
  </si>
  <si>
    <t>Roller conveyor</t>
  </si>
  <si>
    <t>Roller switch conveyor</t>
  </si>
  <si>
    <t>INTRALOX conveyor</t>
  </si>
  <si>
    <t>Belt transfer conveyor</t>
  </si>
  <si>
    <t>VANDERLANDE</t>
  </si>
  <si>
    <t>Live roller conveyor</t>
  </si>
  <si>
    <t>Check weigher</t>
  </si>
  <si>
    <t>Curve belt conveyor</t>
  </si>
  <si>
    <t>STX</t>
  </si>
  <si>
    <t>TK01</t>
  </si>
  <si>
    <t>TK02</t>
  </si>
  <si>
    <t>TK03</t>
  </si>
  <si>
    <t>WE01</t>
  </si>
  <si>
    <t>WE02</t>
  </si>
  <si>
    <t>WA01</t>
  </si>
  <si>
    <t>WA02</t>
  </si>
  <si>
    <t>WA03</t>
  </si>
  <si>
    <t>MK01</t>
  </si>
  <si>
    <t>TYPE</t>
  </si>
  <si>
    <t>LOCATION</t>
  </si>
  <si>
    <t>HB-B In/Out</t>
  </si>
  <si>
    <t>HB-A In/Out</t>
  </si>
  <si>
    <t>Shipping &amp; LB1F Takeaway</t>
  </si>
  <si>
    <t>LB2F Takeaway</t>
  </si>
  <si>
    <t>B2C</t>
  </si>
  <si>
    <t>LB1F Inbound</t>
  </si>
  <si>
    <t>LB3F Inbound</t>
  </si>
  <si>
    <t>LB1F&amp;2F Replenishment</t>
  </si>
  <si>
    <t>Dump area</t>
  </si>
  <si>
    <t>Drive Roller conveyor</t>
  </si>
  <si>
    <t>Roller 소음</t>
  </si>
  <si>
    <t>PPI</t>
  </si>
  <si>
    <t>Timing belt</t>
  </si>
  <si>
    <t>Sorter (STX)</t>
  </si>
  <si>
    <t>기계 외관 상태 (크랙 등)</t>
  </si>
  <si>
    <t>Roller 및 Cylinder 동작 상태</t>
  </si>
  <si>
    <t>Cleaaning</t>
  </si>
  <si>
    <t>Belt 외관 상태</t>
  </si>
  <si>
    <t>LB2F</t>
  </si>
  <si>
    <t>HB-A</t>
  </si>
  <si>
    <t>LB3F</t>
  </si>
  <si>
    <t>LB1F</t>
  </si>
  <si>
    <t>LB1F, LB2F</t>
  </si>
  <si>
    <t>Conveyor Preventive Maintenance Check list</t>
  </si>
  <si>
    <t>Sensor 상태</t>
  </si>
  <si>
    <t>Roller 소음, 진동</t>
  </si>
  <si>
    <t>Poly Belt 외관, 체결상태</t>
  </si>
  <si>
    <t>Vanderalnde Conveyor</t>
  </si>
  <si>
    <t>PPI 상태</t>
  </si>
  <si>
    <t>Timing belt 상태 점검</t>
  </si>
  <si>
    <t>점검월</t>
  </si>
  <si>
    <r>
      <t xml:space="preserve">* 범례: O (정상), X (비정상), </t>
    </r>
    <r>
      <rPr>
        <sz val="10"/>
        <color theme="1"/>
        <rFont val="함초롬바탕"/>
        <family val="1"/>
        <charset val="128"/>
      </rPr>
      <t>☒</t>
    </r>
    <r>
      <rPr>
        <sz val="10"/>
        <color theme="1"/>
        <rFont val="Calibri"/>
        <family val="2"/>
      </rPr>
      <t xml:space="preserve"> (조치 완료), NA (해당사항 없음)</t>
    </r>
  </si>
  <si>
    <t>KANPP_TK01</t>
  </si>
  <si>
    <t>Roller Switch</t>
  </si>
  <si>
    <t>180 Degree curve belt</t>
  </si>
  <si>
    <t>Roller</t>
  </si>
  <si>
    <t>Accumulation roller conveyor</t>
  </si>
  <si>
    <t>롤러 컨베이어</t>
  </si>
  <si>
    <t>커브 롤러 컨베이어</t>
  </si>
  <si>
    <t>인입/배출 이송 롤러 컨베이어</t>
  </si>
  <si>
    <t>롤러 포인트 V3</t>
  </si>
  <si>
    <t>합류장치</t>
  </si>
  <si>
    <t>벨트 이송 장치</t>
  </si>
  <si>
    <t>벨트 컨베이어</t>
  </si>
  <si>
    <t>스트로크 스토퍼/후진 차단 장치/회전 스토퍼</t>
  </si>
  <si>
    <t>누름요소/누름요소LIGHT</t>
  </si>
  <si>
    <t>높이점검</t>
  </si>
  <si>
    <t>로터리 엔코더</t>
  </si>
  <si>
    <t>분산형 제어 캐비닛</t>
  </si>
  <si>
    <t>Driven belt roller</t>
  </si>
  <si>
    <t>Belt transfer</t>
  </si>
  <si>
    <t>SCANNER</t>
  </si>
  <si>
    <t>외관 상태 및 청소</t>
  </si>
  <si>
    <t>케이블 연결 상태</t>
  </si>
  <si>
    <t>동작 상태</t>
  </si>
  <si>
    <t>가이드 상태</t>
  </si>
  <si>
    <t>Belt 연결부 상태</t>
  </si>
  <si>
    <t>구동부 소음</t>
  </si>
  <si>
    <t>CONVEYOR</t>
  </si>
  <si>
    <t>전기설비 점검결과 기록표</t>
  </si>
  <si>
    <t>태양광 발전설비</t>
  </si>
  <si>
    <t>전기자동차 충전시설</t>
  </si>
  <si>
    <t>무정전 전원장치</t>
  </si>
  <si>
    <t>저압설비 절연저항측정</t>
  </si>
  <si>
    <t>저압설비 접지저항측정</t>
  </si>
  <si>
    <t>고압설비 절연저항측정</t>
  </si>
  <si>
    <t>고압설비 접지저항측정</t>
  </si>
  <si>
    <t>고압설비 절연내력측정</t>
  </si>
  <si>
    <t>변압기 절연저항 측정</t>
  </si>
  <si>
    <t>변압기 절연내력측정</t>
  </si>
  <si>
    <t>계전기 및 차단기 동작시험</t>
  </si>
  <si>
    <t>적외선열화상 측정</t>
  </si>
  <si>
    <t>전원품질분석</t>
  </si>
  <si>
    <t>전기설비 열화상 측정 (GRC)</t>
  </si>
  <si>
    <t>전기실 battery 상태점검</t>
  </si>
  <si>
    <t>축전지 및 충전장치 점검</t>
  </si>
  <si>
    <t>전기설비 소음 점검</t>
  </si>
  <si>
    <t>외곽 전기 맨홀 점검</t>
  </si>
  <si>
    <t>ELECTRICAL</t>
  </si>
  <si>
    <t>EQUIPMENT1</t>
  </si>
  <si>
    <t>EQUPMENT2</t>
  </si>
  <si>
    <t>Firefighting</t>
  </si>
  <si>
    <t>FIREFIGHTING</t>
  </si>
  <si>
    <t>작동점검</t>
  </si>
  <si>
    <t>종합점검</t>
  </si>
  <si>
    <t>No.</t>
  </si>
  <si>
    <t>소방펌프 #1, #2 오일 &amp; 필터 교체</t>
  </si>
  <si>
    <t>HB-B Dry valve trip test</t>
  </si>
  <si>
    <t>소방펌프</t>
  </si>
  <si>
    <t>Dry valve</t>
  </si>
  <si>
    <t>옥외소화전</t>
  </si>
  <si>
    <t>방수압력 측정</t>
  </si>
  <si>
    <t>Comp. Rate(%)</t>
  </si>
  <si>
    <t>Electrical</t>
  </si>
  <si>
    <t>Utility</t>
  </si>
  <si>
    <t>Preventive maintenance plan</t>
  </si>
  <si>
    <t>D</t>
  </si>
  <si>
    <t>FY26</t>
  </si>
  <si>
    <t>최근PM</t>
  </si>
  <si>
    <t>다음PM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</si>
</sst>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&quot;/&quot;d;@"/>
    <numFmt numFmtId="165" formatCode="m/d;@"/>
    <numFmt numFmtId="166" formatCode="[$-409]mmmm&quot;-&quot;yy;@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0"/>
      <color theme="1"/>
      <name val="Calibri"/>
      <family val="2"/>
    </font>
    <font>
      <b/>
      <sz val="14"/>
      <color theme="1"/>
      <name val="Calibri"/>
      <family val="2"/>
    </font>
    <font>
      <b/>
      <sz val="10"/>
      <color theme="1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sz val="8"/>
      <name val="Aptos Narrow"/>
      <family val="2"/>
      <scheme val="minor"/>
    </font>
    <font>
      <sz val="10"/>
      <color theme="1"/>
      <name val="Aptos Narrow"/>
      <family val="2"/>
      <charset val="129"/>
      <scheme val="minor"/>
    </font>
    <font>
      <sz val="8"/>
      <name val="Aptos Narrow"/>
      <family val="3"/>
      <charset val="129"/>
      <scheme val="minor"/>
    </font>
    <font>
      <sz val="9"/>
      <color theme="1"/>
      <name val="Malgun Gothic"/>
      <family val="2"/>
      <charset val="129"/>
    </font>
    <font>
      <sz val="10"/>
      <color rgb="FF000000"/>
      <name val="Calibri"/>
      <family val="2"/>
    </font>
    <font>
      <b/>
      <sz val="18"/>
      <color theme="1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함초롬바탕"/>
      <family val="1"/>
      <charset val="128"/>
    </font>
    <font>
      <sz val="11"/>
      <color rgb="FF000000"/>
      <name val="맑은 고딕"/>
      <family val="3"/>
      <charset val="129"/>
    </font>
    <font>
      <b/>
      <sz val="2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>
      <alignment vertical="center"/>
    </xf>
    <xf numFmtId="0" fontId="2" fillId="0" borderId="0">
      <alignment vertical="center"/>
    </xf>
    <xf numFmtId="9" fontId="15" fillId="0" borderId="0" applyFont="0" applyFill="0" applyBorder="0" applyAlignment="0" applyProtection="0"/>
    <xf numFmtId="0" fontId="1" fillId="0" borderId="0"/>
  </cellStyleXfs>
  <cellXfs count="137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6" fontId="4" fillId="3" borderId="1" xfId="0" quotePrefix="1" applyNumberFormat="1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0" xfId="2" applyFont="1">
      <alignment vertical="center"/>
    </xf>
    <xf numFmtId="0" fontId="10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left" vertical="center"/>
    </xf>
    <xf numFmtId="0" fontId="10" fillId="0" borderId="5" xfId="2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16" fontId="4" fillId="3" borderId="1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0" fillId="0" borderId="5" xfId="2" applyFont="1" applyBorder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0" fillId="2" borderId="1" xfId="2" applyFont="1" applyFill="1" applyBorder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16" fontId="10" fillId="0" borderId="1" xfId="2" applyNumberFormat="1" applyFont="1" applyBorder="1" applyAlignment="1">
      <alignment horizontal="left" vertical="center"/>
    </xf>
    <xf numFmtId="9" fontId="10" fillId="0" borderId="1" xfId="3" applyFont="1" applyBorder="1" applyAlignment="1">
      <alignment horizontal="center" vertical="center"/>
    </xf>
    <xf numFmtId="0" fontId="10" fillId="0" borderId="1" xfId="2" applyFont="1" applyBorder="1" applyAlignment="1">
      <alignment horizontal="right" vertical="center"/>
    </xf>
    <xf numFmtId="16" fontId="10" fillId="0" borderId="1" xfId="2" applyNumberFormat="1" applyFont="1" applyBorder="1" applyAlignment="1">
      <alignment horizontal="center" vertical="center"/>
    </xf>
    <xf numFmtId="0" fontId="10" fillId="0" borderId="5" xfId="2" applyFont="1" applyBorder="1" applyAlignment="1">
      <alignment horizontal="right"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6" fontId="4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1" xfId="0" applyBorder="1"/>
    <xf numFmtId="0" fontId="0" fillId="0" borderId="0" xfId="0" applyAlignment="1">
      <alignment horizontal="left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8" fillId="0" borderId="0" xfId="2" applyFont="1">
      <alignment vertical="center"/>
    </xf>
    <xf numFmtId="0" fontId="10" fillId="0" borderId="7" xfId="2" applyFont="1" applyBorder="1">
      <alignment vertical="center"/>
    </xf>
    <xf numFmtId="0" fontId="10" fillId="0" borderId="14" xfId="2" applyFont="1" applyBorder="1">
      <alignment vertical="center"/>
    </xf>
    <xf numFmtId="0" fontId="10" fillId="0" borderId="13" xfId="2" applyFont="1" applyBorder="1" applyAlignment="1">
      <alignment horizontal="center" vertical="center"/>
    </xf>
    <xf numFmtId="0" fontId="10" fillId="0" borderId="13" xfId="2" applyFont="1" applyBorder="1">
      <alignment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0" fillId="0" borderId="15" xfId="2" applyFont="1" applyBorder="1">
      <alignment vertical="center"/>
    </xf>
    <xf numFmtId="0" fontId="19" fillId="0" borderId="1" xfId="2" applyFont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4" xfId="2" applyFont="1" applyFill="1" applyBorder="1">
      <alignment vertical="center"/>
    </xf>
    <xf numFmtId="0" fontId="10" fillId="3" borderId="13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left" vertical="center"/>
    </xf>
    <xf numFmtId="0" fontId="10" fillId="0" borderId="0" xfId="2" applyFont="1" applyAlignment="1">
      <alignment horizontal="right" vertical="center"/>
    </xf>
    <xf numFmtId="9" fontId="10" fillId="0" borderId="0" xfId="3" applyFont="1" applyBorder="1" applyAlignment="1">
      <alignment horizontal="center" vertical="center"/>
    </xf>
    <xf numFmtId="0" fontId="10" fillId="3" borderId="13" xfId="2" applyFont="1" applyFill="1" applyBorder="1">
      <alignment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6" fontId="10" fillId="3" borderId="1" xfId="2" applyNumberFormat="1" applyFont="1" applyFill="1" applyBorder="1" applyAlignment="1">
      <alignment horizontal="center" vertical="center"/>
    </xf>
    <xf numFmtId="16" fontId="10" fillId="3" borderId="1" xfId="2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 wrapText="1"/>
    </xf>
    <xf numFmtId="0" fontId="10" fillId="3" borderId="15" xfId="2" applyFont="1" applyFill="1" applyBorder="1">
      <alignment vertical="center"/>
    </xf>
    <xf numFmtId="0" fontId="10" fillId="0" borderId="1" xfId="2" applyFont="1" applyBorder="1" applyAlignment="1">
      <alignment horizontal="center" vertical="center" textRotation="165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4" fillId="2" borderId="2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" fontId="8" fillId="0" borderId="3" xfId="0" applyNumberFormat="1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10" fillId="0" borderId="3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4" fillId="0" borderId="2" xfId="0" applyFont="1" applyBorder="1" applyAlignment="1">
      <alignment horizontal="right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6" fontId="4" fillId="0" borderId="3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16" fontId="4" fillId="0" borderId="3" xfId="0" applyNumberFormat="1" applyFont="1" applyBorder="1" applyAlignment="1">
      <alignment horizontal="left" vertical="top" wrapText="1"/>
    </xf>
    <xf numFmtId="16" fontId="4" fillId="0" borderId="6" xfId="0" applyNumberFormat="1" applyFont="1" applyBorder="1" applyAlignment="1">
      <alignment horizontal="left" vertical="top" wrapText="1"/>
    </xf>
    <xf numFmtId="16" fontId="4" fillId="0" borderId="7" xfId="0" applyNumberFormat="1" applyFont="1" applyBorder="1" applyAlignment="1">
      <alignment horizontal="left" vertical="top" wrapText="1"/>
    </xf>
    <xf numFmtId="16" fontId="4" fillId="0" borderId="8" xfId="0" applyNumberFormat="1" applyFont="1" applyBorder="1" applyAlignment="1">
      <alignment horizontal="left" vertical="top" wrapText="1"/>
    </xf>
    <xf numFmtId="16" fontId="4" fillId="0" borderId="9" xfId="0" applyNumberFormat="1" applyFont="1" applyBorder="1" applyAlignment="1">
      <alignment horizontal="left" vertical="top" wrapText="1"/>
    </xf>
    <xf numFmtId="16" fontId="4" fillId="0" borderId="0" xfId="0" applyNumberFormat="1" applyFont="1" applyAlignment="1">
      <alignment horizontal="left" vertical="top" wrapText="1"/>
    </xf>
    <xf numFmtId="16" fontId="4" fillId="0" borderId="10" xfId="0" applyNumberFormat="1" applyFont="1" applyBorder="1" applyAlignment="1">
      <alignment horizontal="left" vertical="top" wrapText="1"/>
    </xf>
    <xf numFmtId="16" fontId="4" fillId="0" borderId="11" xfId="0" applyNumberFormat="1" applyFont="1" applyBorder="1" applyAlignment="1">
      <alignment horizontal="left" vertical="top" wrapText="1"/>
    </xf>
    <xf numFmtId="16" fontId="4" fillId="0" borderId="2" xfId="0" applyNumberFormat="1" applyFont="1" applyBorder="1" applyAlignment="1">
      <alignment horizontal="left" vertical="top" wrapText="1"/>
    </xf>
    <xf numFmtId="16" fontId="4" fillId="0" borderId="12" xfId="0" applyNumberFormat="1" applyFont="1" applyBorder="1" applyAlignment="1">
      <alignment horizontal="left" vertical="top" wrapText="1"/>
    </xf>
    <xf numFmtId="0" fontId="4" fillId="3" borderId="14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16" fontId="13" fillId="0" borderId="3" xfId="0" applyNumberFormat="1" applyFont="1" applyBorder="1" applyAlignment="1">
      <alignment horizontal="left" vertical="top" wrapText="1"/>
    </xf>
    <xf numFmtId="0" fontId="4" fillId="3" borderId="6" xfId="0" quotePrefix="1" applyFont="1" applyFill="1" applyBorder="1" applyAlignment="1">
      <alignment horizontal="center" vertical="center"/>
    </xf>
    <xf numFmtId="0" fontId="4" fillId="3" borderId="7" xfId="0" quotePrefix="1" applyFont="1" applyFill="1" applyBorder="1" applyAlignment="1">
      <alignment horizontal="center" vertical="center"/>
    </xf>
    <xf numFmtId="0" fontId="4" fillId="3" borderId="8" xfId="0" quotePrefix="1" applyFont="1" applyFill="1" applyBorder="1" applyAlignment="1">
      <alignment horizontal="center" vertical="center"/>
    </xf>
    <xf numFmtId="0" fontId="4" fillId="3" borderId="9" xfId="0" quotePrefix="1" applyFont="1" applyFill="1" applyBorder="1" applyAlignment="1">
      <alignment horizontal="center" vertical="center"/>
    </xf>
    <xf numFmtId="0" fontId="4" fillId="3" borderId="0" xfId="0" quotePrefix="1" applyFont="1" applyFill="1" applyAlignment="1">
      <alignment horizontal="center" vertical="center"/>
    </xf>
    <xf numFmtId="0" fontId="4" fillId="3" borderId="10" xfId="0" quotePrefix="1" applyFont="1" applyFill="1" applyBorder="1" applyAlignment="1">
      <alignment horizontal="center" vertical="center"/>
    </xf>
    <xf numFmtId="0" fontId="4" fillId="3" borderId="11" xfId="0" quotePrefix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4" fillId="3" borderId="12" xfId="0" quotePrefix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</cellXfs>
  <cellStyles count="5">
    <cellStyle name="Normal 2" xfId="1" xr:uid="{05E90906-1C64-41EC-8556-BD10F5047C00}"/>
    <cellStyle name="Normal 3" xfId="2" xr:uid="{F3D59A57-D1E1-4290-B29C-AADC4A7CB3A2}"/>
    <cellStyle name="백분율" xfId="3" builtinId="5"/>
    <cellStyle name="표준" xfId="0" builtinId="0"/>
    <cellStyle name="표준 2" xfId="4" xr:uid="{AB1B23F5-61E1-4E5E-98FA-B89AE5D99B40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29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29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29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3F3F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microsoft.com/office/2022/10/relationships/richValueRel" Target="richData/richValueRel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heetMetadata" Target="metadata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microsoft.com/office/2017/06/relationships/rdRichValue" Target="richData/rdrichvalue.xml"/><Relationship Id="rId30" Type="http://schemas.microsoft.com/office/2022/11/relationships/FeaturePropertyBag" Target="featurePropertyBag/featurePropertyBag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CONVEYOR PM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9567867703714412"/>
          <c:y val="0.13222999372629496"/>
          <c:w val="0.7221259842519685"/>
          <c:h val="0.543589461980896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'PM Plan'!$AB$3</c:f>
              <c:strCache>
                <c:ptCount val="1"/>
                <c:pt idx="0">
                  <c:v>Plan(#)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'PM Plan'!$L$27:$W$27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  <c:pt idx="7">
                  <c:v>Jan</c:v>
                </c:pt>
                <c:pt idx="8">
                  <c:v>Feb</c:v>
                </c:pt>
                <c:pt idx="9">
                  <c:v>Mar</c:v>
                </c:pt>
                <c:pt idx="10">
                  <c:v>Apr</c:v>
                </c:pt>
                <c:pt idx="11">
                  <c:v>May</c:v>
                </c:pt>
              </c:strCache>
            </c:strRef>
          </c:cat>
          <c:val>
            <c:numRef>
              <c:f>'PM Plan'!$AC$3:$AN$3</c:f>
              <c:numCache>
                <c:formatCode>General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22</c:v>
                </c:pt>
                <c:pt idx="4">
                  <c:v>23</c:v>
                </c:pt>
                <c:pt idx="5">
                  <c:v>18</c:v>
                </c:pt>
                <c:pt idx="6">
                  <c:v>28</c:v>
                </c:pt>
                <c:pt idx="7">
                  <c:v>22</c:v>
                </c:pt>
                <c:pt idx="8">
                  <c:v>17</c:v>
                </c:pt>
                <c:pt idx="9">
                  <c:v>22</c:v>
                </c:pt>
                <c:pt idx="10">
                  <c:v>22</c:v>
                </c:pt>
                <c:pt idx="1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6-415A-AEC4-EEB0BED637FD}"/>
            </c:ext>
          </c:extLst>
        </c:ser>
        <c:ser>
          <c:idx val="1"/>
          <c:order val="1"/>
          <c:tx>
            <c:strRef>
              <c:f>'PM Plan'!$AB$4</c:f>
              <c:strCache>
                <c:ptCount val="1"/>
                <c:pt idx="0">
                  <c:v>Actual(#)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'PM Plan'!$L$27:$W$27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  <c:pt idx="7">
                  <c:v>Jan</c:v>
                </c:pt>
                <c:pt idx="8">
                  <c:v>Feb</c:v>
                </c:pt>
                <c:pt idx="9">
                  <c:v>Mar</c:v>
                </c:pt>
                <c:pt idx="10">
                  <c:v>Apr</c:v>
                </c:pt>
                <c:pt idx="11">
                  <c:v>May</c:v>
                </c:pt>
              </c:strCache>
            </c:strRef>
          </c:cat>
          <c:val>
            <c:numRef>
              <c:f>'PM Plan'!$AC$4:$AN$4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36-415A-AEC4-EEB0BED63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6153344"/>
        <c:axId val="526150944"/>
      </c:barChart>
      <c:lineChart>
        <c:grouping val="standard"/>
        <c:varyColors val="0"/>
        <c:ser>
          <c:idx val="2"/>
          <c:order val="2"/>
          <c:tx>
            <c:strRef>
              <c:f>'PM Plan'!$AB$5</c:f>
              <c:strCache>
                <c:ptCount val="1"/>
                <c:pt idx="0">
                  <c:v>Comp. Rate(%)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'PM Plan'!$L$27:$W$27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  <c:pt idx="7">
                  <c:v>Jan</c:v>
                </c:pt>
                <c:pt idx="8">
                  <c:v>Feb</c:v>
                </c:pt>
                <c:pt idx="9">
                  <c:v>Mar</c:v>
                </c:pt>
                <c:pt idx="10">
                  <c:v>Apr</c:v>
                </c:pt>
                <c:pt idx="11">
                  <c:v>May</c:v>
                </c:pt>
              </c:strCache>
            </c:strRef>
          </c:cat>
          <c:val>
            <c:numRef>
              <c:f>'PM Plan'!$AC$5:$AN$5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36-415A-AEC4-EEB0BED63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248991"/>
        <c:axId val="1584247071"/>
      </c:lineChart>
      <c:catAx>
        <c:axId val="158424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247071"/>
        <c:crosses val="autoZero"/>
        <c:auto val="1"/>
        <c:lblAlgn val="ctr"/>
        <c:lblOffset val="100"/>
        <c:noMultiLvlLbl val="0"/>
      </c:catAx>
      <c:valAx>
        <c:axId val="15842470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248991"/>
        <c:crosses val="autoZero"/>
        <c:crossBetween val="between"/>
      </c:valAx>
      <c:valAx>
        <c:axId val="5261509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53344"/>
        <c:crosses val="max"/>
        <c:crossBetween val="between"/>
      </c:valAx>
      <c:catAx>
        <c:axId val="526153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61509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ELECTRICAL PM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567867703714412"/>
          <c:y val="0.13222999372629496"/>
          <c:w val="0.7221259842519685"/>
          <c:h val="0.543589461980896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'PM Plan'!$AB$8</c:f>
              <c:strCache>
                <c:ptCount val="1"/>
                <c:pt idx="0">
                  <c:v>Plan(#)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'PM Plan'!$L$27:$W$27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  <c:pt idx="7">
                  <c:v>Jan</c:v>
                </c:pt>
                <c:pt idx="8">
                  <c:v>Feb</c:v>
                </c:pt>
                <c:pt idx="9">
                  <c:v>Mar</c:v>
                </c:pt>
                <c:pt idx="10">
                  <c:v>Apr</c:v>
                </c:pt>
                <c:pt idx="11">
                  <c:v>May</c:v>
                </c:pt>
              </c:strCache>
            </c:strRef>
          </c:cat>
          <c:val>
            <c:numRef>
              <c:f>'PM Plan'!$AC$8:$AN$8</c:f>
              <c:numCache>
                <c:formatCode>General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9</c:v>
                </c:pt>
                <c:pt idx="3">
                  <c:v>4</c:v>
                </c:pt>
                <c:pt idx="4">
                  <c:v>4</c:v>
                </c:pt>
                <c:pt idx="5">
                  <c:v>14</c:v>
                </c:pt>
                <c:pt idx="6">
                  <c:v>4</c:v>
                </c:pt>
                <c:pt idx="7">
                  <c:v>4</c:v>
                </c:pt>
                <c:pt idx="8">
                  <c:v>9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6-415A-AEC4-EEB0BED637FD}"/>
            </c:ext>
          </c:extLst>
        </c:ser>
        <c:ser>
          <c:idx val="1"/>
          <c:order val="1"/>
          <c:tx>
            <c:strRef>
              <c:f>'PM Plan'!$AB$9</c:f>
              <c:strCache>
                <c:ptCount val="1"/>
                <c:pt idx="0">
                  <c:v>Actual(#)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'PM Plan'!$L$27:$W$27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  <c:pt idx="7">
                  <c:v>Jan</c:v>
                </c:pt>
                <c:pt idx="8">
                  <c:v>Feb</c:v>
                </c:pt>
                <c:pt idx="9">
                  <c:v>Mar</c:v>
                </c:pt>
                <c:pt idx="10">
                  <c:v>Apr</c:v>
                </c:pt>
                <c:pt idx="11">
                  <c:v>May</c:v>
                </c:pt>
              </c:strCache>
            </c:strRef>
          </c:cat>
          <c:val>
            <c:numRef>
              <c:f>'PM Plan'!$AC$9:$AN$9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36-415A-AEC4-EEB0BED63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6153344"/>
        <c:axId val="526150944"/>
      </c:barChart>
      <c:lineChart>
        <c:grouping val="standard"/>
        <c:varyColors val="0"/>
        <c:ser>
          <c:idx val="2"/>
          <c:order val="2"/>
          <c:tx>
            <c:strRef>
              <c:f>'PM Plan'!$AB$10</c:f>
              <c:strCache>
                <c:ptCount val="1"/>
                <c:pt idx="0">
                  <c:v>Comp. Rate(%)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'PM Plan'!$L$27:$W$27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  <c:pt idx="7">
                  <c:v>Jan</c:v>
                </c:pt>
                <c:pt idx="8">
                  <c:v>Feb</c:v>
                </c:pt>
                <c:pt idx="9">
                  <c:v>Mar</c:v>
                </c:pt>
                <c:pt idx="10">
                  <c:v>Apr</c:v>
                </c:pt>
                <c:pt idx="11">
                  <c:v>May</c:v>
                </c:pt>
              </c:strCache>
            </c:strRef>
          </c:cat>
          <c:val>
            <c:numRef>
              <c:f>'PM Plan'!$AC$10:$AN$10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36-415A-AEC4-EEB0BED63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248991"/>
        <c:axId val="1584247071"/>
      </c:lineChart>
      <c:catAx>
        <c:axId val="158424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247071"/>
        <c:crosses val="autoZero"/>
        <c:auto val="1"/>
        <c:lblAlgn val="ctr"/>
        <c:lblOffset val="100"/>
        <c:noMultiLvlLbl val="0"/>
      </c:catAx>
      <c:valAx>
        <c:axId val="15842470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248991"/>
        <c:crosses val="autoZero"/>
        <c:crossBetween val="between"/>
      </c:valAx>
      <c:valAx>
        <c:axId val="5261509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53344"/>
        <c:crosses val="max"/>
        <c:crossBetween val="between"/>
      </c:valAx>
      <c:catAx>
        <c:axId val="526153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61509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FIREFIGHTING PM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567867703714412"/>
          <c:y val="0.13222999372629496"/>
          <c:w val="0.7221259842519685"/>
          <c:h val="0.543589461980896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'PM Plan'!$AB$13</c:f>
              <c:strCache>
                <c:ptCount val="1"/>
                <c:pt idx="0">
                  <c:v>Plan(#)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'PM Plan'!$L$27:$W$27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  <c:pt idx="7">
                  <c:v>Jan</c:v>
                </c:pt>
                <c:pt idx="8">
                  <c:v>Feb</c:v>
                </c:pt>
                <c:pt idx="9">
                  <c:v>Mar</c:v>
                </c:pt>
                <c:pt idx="10">
                  <c:v>Apr</c:v>
                </c:pt>
                <c:pt idx="11">
                  <c:v>May</c:v>
                </c:pt>
              </c:strCache>
            </c:strRef>
          </c:cat>
          <c:val>
            <c:numRef>
              <c:f>'PM Plan'!$AC$13:$AN$13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6-415A-AEC4-EEB0BED637FD}"/>
            </c:ext>
          </c:extLst>
        </c:ser>
        <c:ser>
          <c:idx val="1"/>
          <c:order val="1"/>
          <c:tx>
            <c:strRef>
              <c:f>'PM Plan'!$AB$14</c:f>
              <c:strCache>
                <c:ptCount val="1"/>
                <c:pt idx="0">
                  <c:v>Actual(#)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'PM Plan'!$L$27:$W$27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  <c:pt idx="7">
                  <c:v>Jan</c:v>
                </c:pt>
                <c:pt idx="8">
                  <c:v>Feb</c:v>
                </c:pt>
                <c:pt idx="9">
                  <c:v>Mar</c:v>
                </c:pt>
                <c:pt idx="10">
                  <c:v>Apr</c:v>
                </c:pt>
                <c:pt idx="11">
                  <c:v>May</c:v>
                </c:pt>
              </c:strCache>
            </c:strRef>
          </c:cat>
          <c:val>
            <c:numRef>
              <c:f>'PM Plan'!$AC$14:$AN$14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36-415A-AEC4-EEB0BED63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6153344"/>
        <c:axId val="526150944"/>
      </c:barChart>
      <c:lineChart>
        <c:grouping val="standard"/>
        <c:varyColors val="0"/>
        <c:ser>
          <c:idx val="2"/>
          <c:order val="2"/>
          <c:tx>
            <c:strRef>
              <c:f>'PM Plan'!$AB$15</c:f>
              <c:strCache>
                <c:ptCount val="1"/>
                <c:pt idx="0">
                  <c:v>Comp. Rate(%)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'PM Plan'!$L$27:$W$27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  <c:pt idx="7">
                  <c:v>Jan</c:v>
                </c:pt>
                <c:pt idx="8">
                  <c:v>Feb</c:v>
                </c:pt>
                <c:pt idx="9">
                  <c:v>Mar</c:v>
                </c:pt>
                <c:pt idx="10">
                  <c:v>Apr</c:v>
                </c:pt>
                <c:pt idx="11">
                  <c:v>May</c:v>
                </c:pt>
              </c:strCache>
            </c:strRef>
          </c:cat>
          <c:val>
            <c:numRef>
              <c:f>'PM Plan'!$AC$15:$AN$15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36-415A-AEC4-EEB0BED63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248991"/>
        <c:axId val="1584247071"/>
      </c:lineChart>
      <c:catAx>
        <c:axId val="158424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247071"/>
        <c:crosses val="autoZero"/>
        <c:auto val="1"/>
        <c:lblAlgn val="ctr"/>
        <c:lblOffset val="100"/>
        <c:noMultiLvlLbl val="0"/>
      </c:catAx>
      <c:valAx>
        <c:axId val="15842470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248991"/>
        <c:crosses val="autoZero"/>
        <c:crossBetween val="between"/>
      </c:valAx>
      <c:valAx>
        <c:axId val="526150944"/>
        <c:scaling>
          <c:orientation val="minMax"/>
          <c:max val="5"/>
        </c:scaling>
        <c:delete val="0"/>
        <c:axPos val="r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53344"/>
        <c:crosses val="max"/>
        <c:crossBetween val="between"/>
        <c:majorUnit val="1"/>
        <c:minorUnit val="1"/>
      </c:valAx>
      <c:catAx>
        <c:axId val="526153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61509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497847</xdr:colOff>
      <xdr:row>39</xdr:row>
      <xdr:rowOff>0</xdr:rowOff>
    </xdr:from>
    <xdr:to>
      <xdr:col>38</xdr:col>
      <xdr:colOff>49791</xdr:colOff>
      <xdr:row>42</xdr:row>
      <xdr:rowOff>124239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1F79524-8F04-DDD3-B3D2-7916EB567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42369" y="8555432"/>
          <a:ext cx="3212856" cy="745435"/>
        </a:xfrm>
        <a:prstGeom prst="rect">
          <a:avLst/>
        </a:prstGeom>
      </xdr:spPr>
    </xdr:pic>
    <xdr:clientData/>
  </xdr:twoCellAnchor>
  <xdr:twoCellAnchor editAs="oneCell">
    <xdr:from>
      <xdr:col>31</xdr:col>
      <xdr:colOff>502244</xdr:colOff>
      <xdr:row>41</xdr:row>
      <xdr:rowOff>0</xdr:rowOff>
    </xdr:from>
    <xdr:to>
      <xdr:col>38</xdr:col>
      <xdr:colOff>66454</xdr:colOff>
      <xdr:row>42</xdr:row>
      <xdr:rowOff>172662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60A22A4-98AB-8C3F-86CD-FFB2CF408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446766" y="9390883"/>
          <a:ext cx="3225122" cy="374750"/>
        </a:xfrm>
        <a:prstGeom prst="rect">
          <a:avLst/>
        </a:prstGeom>
      </xdr:spPr>
    </xdr:pic>
    <xdr:clientData/>
  </xdr:twoCellAnchor>
  <xdr:twoCellAnchor>
    <xdr:from>
      <xdr:col>0</xdr:col>
      <xdr:colOff>124240</xdr:colOff>
      <xdr:row>1</xdr:row>
      <xdr:rowOff>115957</xdr:rowOff>
    </xdr:from>
    <xdr:to>
      <xdr:col>4</xdr:col>
      <xdr:colOff>670893</xdr:colOff>
      <xdr:row>19</xdr:row>
      <xdr:rowOff>91108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12D1195-36CD-FCEB-8AEE-155F52BE6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127138</xdr:colOff>
      <xdr:row>20</xdr:row>
      <xdr:rowOff>71677</xdr:rowOff>
    </xdr:from>
    <xdr:to>
      <xdr:col>5</xdr:col>
      <xdr:colOff>165652</xdr:colOff>
      <xdr:row>24</xdr:row>
      <xdr:rowOff>121372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EQUIPMENT1">
              <a:extLst>
                <a:ext uri="{FF2B5EF4-FFF2-40B4-BE49-F238E27FC236}">
                  <a16:creationId xmlns:a16="http://schemas.microsoft.com/office/drawing/2014/main" id="{E6674B5C-5390-EB95-08C0-03192C126E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MENT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138" y="3434735"/>
              <a:ext cx="4529918" cy="6651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>
    <xdr:from>
      <xdr:col>4</xdr:col>
      <xdr:colOff>817113</xdr:colOff>
      <xdr:row>1</xdr:row>
      <xdr:rowOff>115957</xdr:rowOff>
    </xdr:from>
    <xdr:to>
      <xdr:col>9</xdr:col>
      <xdr:colOff>469882</xdr:colOff>
      <xdr:row>19</xdr:row>
      <xdr:rowOff>91108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5A895C23-6BD0-3DFF-FA05-77D42CC9A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833997</xdr:colOff>
      <xdr:row>1</xdr:row>
      <xdr:rowOff>115957</xdr:rowOff>
    </xdr:from>
    <xdr:to>
      <xdr:col>10</xdr:col>
      <xdr:colOff>659425</xdr:colOff>
      <xdr:row>19</xdr:row>
      <xdr:rowOff>91108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1CFC507D-922C-CAF7-3FA9-332BB5450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805961</xdr:colOff>
      <xdr:row>3</xdr:row>
      <xdr:rowOff>24344</xdr:rowOff>
    </xdr:from>
    <xdr:to>
      <xdr:col>22</xdr:col>
      <xdr:colOff>134274</xdr:colOff>
      <xdr:row>8</xdr:row>
      <xdr:rowOff>32460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73D4F4E-8D40-4575-9743-6F12A5FE7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36386" y="557744"/>
          <a:ext cx="3214513" cy="770116"/>
        </a:xfrm>
        <a:prstGeom prst="rect">
          <a:avLst/>
        </a:prstGeom>
      </xdr:spPr>
    </xdr:pic>
    <xdr:clientData/>
  </xdr:twoCellAnchor>
  <xdr:twoCellAnchor editAs="oneCell">
    <xdr:from>
      <xdr:col>21</xdr:col>
      <xdr:colOff>791307</xdr:colOff>
      <xdr:row>9</xdr:row>
      <xdr:rowOff>139210</xdr:rowOff>
    </xdr:from>
    <xdr:to>
      <xdr:col>22</xdr:col>
      <xdr:colOff>131886</xdr:colOff>
      <xdr:row>12</xdr:row>
      <xdr:rowOff>66699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4441057-A153-4001-98E6-C3122AAAF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21732" y="1587010"/>
          <a:ext cx="3226779" cy="3846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410135</xdr:colOff>
          <xdr:row>0</xdr:row>
          <xdr:rowOff>239807</xdr:rowOff>
        </xdr:from>
        <xdr:to>
          <xdr:col>41</xdr:col>
          <xdr:colOff>543485</xdr:colOff>
          <xdr:row>43</xdr:row>
          <xdr:rowOff>214033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C64A5BBC-CE0C-0EBB-F980-AE43174E570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R$43" spid="_x0000_s2400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081311" y="239807"/>
              <a:ext cx="13793321" cy="967852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connect.alere.com/Policy%20Deployment%202001/2001PD-GRUBER%20JULY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apghnsp02\fmol\CBES\1600-1699\1675%20Hubbell%20Service%20Center%20Steel\Data\Analysis\Hubbell%20Stl%20Master%20Data%20File%2015Aug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refusion.com\group\CBES\5300-5399\5366%20Hubbell%20Sand%20Castings\4.%205366%20Data\5366%20Analysis\5366_MasterDataFile_V9_Update%2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pca0029fps01\CTSFinance\wrflr01\55_Global%20Consolidations\02_FY10_August09\70_Financial%20Statements\Per%202_Level%207%20Infusion%20P&amp;L_9_5_20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nd Level Matrix"/>
      <sheetName val="2nd Level Bowling Chart"/>
      <sheetName val="ap  Lean Tools BB"/>
      <sheetName val="ap  36 kaizens"/>
      <sheetName val="2 smed, 3 std wrk"/>
      <sheetName val="6 sigma"/>
      <sheetName val="Top Level $ cntrmsr"/>
      <sheetName val="Cntmrs"/>
      <sheetName val="500 KPI"/>
      <sheetName val="Wkly Sales"/>
      <sheetName val="Wkly Bookings"/>
      <sheetName val="OTD"/>
      <sheetName val="DPM"/>
      <sheetName val="%KanBans"/>
      <sheetName val="Close Rate"/>
      <sheetName val="MEV"/>
      <sheetName val="Leads"/>
      <sheetName val="YoY =0"/>
      <sheetName val="Lists&amp;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9">
          <cell r="B19" t="str">
            <v>JAN</v>
          </cell>
          <cell r="C19" t="str">
            <v>FEB</v>
          </cell>
          <cell r="D19" t="str">
            <v>MAR</v>
          </cell>
          <cell r="E19" t="str">
            <v>APR</v>
          </cell>
          <cell r="F19" t="str">
            <v>MAY</v>
          </cell>
          <cell r="G19" t="str">
            <v>JUN</v>
          </cell>
          <cell r="H19" t="str">
            <v>JUL</v>
          </cell>
          <cell r="I19" t="str">
            <v>AUG</v>
          </cell>
          <cell r="J19" t="str">
            <v>SEP</v>
          </cell>
          <cell r="K19" t="str">
            <v>OCT</v>
          </cell>
          <cell r="L19" t="str">
            <v>NOV</v>
          </cell>
          <cell r="M19" t="str">
            <v>DEC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Lotting Criteria"/>
      <sheetName val="Purchased Lotting Summary"/>
      <sheetName val="All Purchased Data"/>
      <sheetName val="Lighting (Martin)"/>
      <sheetName val="Lighting (Juarez)"/>
      <sheetName val="Lighting (Christiansburg)"/>
      <sheetName val="HPS Pipe (Centralia) "/>
      <sheetName val="HPS Slit Coil (Centralia)"/>
      <sheetName val="HPS Plate (Centralia)"/>
      <sheetName val="Wiring (Puerto Rico)"/>
      <sheetName val="HEP (Freeburg)"/>
      <sheetName val="HEP (Arden)"/>
      <sheetName val="2006"/>
      <sheetName val="Penang_Gloves"/>
      <sheetName val="PROC MATRIX"/>
      <sheetName val="BIOPSY MATRIX"/>
      <sheetName val="1tab"/>
      <sheetName val="Presource_WMT and Adj"/>
      <sheetName val="P&amp;LSCPR3"/>
      <sheetName val="Sheet1"/>
      <sheetName val="Sheet2"/>
      <sheetName val="Sheet3"/>
      <sheetName val="Lotting_Criteria"/>
      <sheetName val="Purchased_Lotting_Summary"/>
      <sheetName val="All_Purchased_Data"/>
      <sheetName val="Lighting_(Martin)"/>
      <sheetName val="Lighting_(Juarez)"/>
      <sheetName val="Lighting_(Christiansburg)"/>
      <sheetName val="HPS_Pipe_(Centralia)_"/>
      <sheetName val="HPS_Slit_Coil_(Centralia)"/>
      <sheetName val="HPS_Plate_(Centralia)"/>
      <sheetName val="Wiring_(Puerto_Rico)"/>
      <sheetName val="HEP_(Freeburg)"/>
      <sheetName val="HEP_(Arden)"/>
      <sheetName val="Presource_WMT_and_Adj"/>
      <sheetName val="Master"/>
      <sheetName val="Lotting_Criteria1"/>
      <sheetName val="Purchased_Lotting_Summary1"/>
      <sheetName val="All_Purchased_Data1"/>
      <sheetName val="Lighting_(Martin)1"/>
      <sheetName val="Lighting_(Juarez)1"/>
      <sheetName val="Lighting_(Christiansburg)1"/>
      <sheetName val="HPS_Pipe_(Centralia)_1"/>
      <sheetName val="HPS_Slit_Coil_(Centralia)1"/>
      <sheetName val="HPS_Plate_(Centralia)1"/>
      <sheetName val="Wiring_(Puerto_Rico)1"/>
      <sheetName val="HEP_(Freeburg)1"/>
      <sheetName val="HEP_(Arden)1"/>
      <sheetName val="PROC_MATRIX"/>
      <sheetName val="BIOPSY_MATRIX"/>
      <sheetName val="Presource_WMT_and_Adj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Lot Listing"/>
      <sheetName val="Historic Pricing LOT 1"/>
      <sheetName val="Historic Pricing LOT 2"/>
      <sheetName val="Historic Pricing LOT 2S"/>
      <sheetName val="Historic Pricing LOT 3"/>
      <sheetName val="Historic Pricing LOT 4"/>
      <sheetName val="Tooling for LOT 4"/>
      <sheetName val="Historic Pricing LOT 5"/>
      <sheetName val="Historic Pricing LOT 6"/>
      <sheetName val="Historic Pricing LOT 7"/>
      <sheetName val="Tooling LOT 7"/>
      <sheetName val="Historic Pricing LOT 7S"/>
      <sheetName val="Tooling LOT 7S"/>
      <sheetName val="Historic Pricing LOT 8"/>
      <sheetName val="Tooling LOT 8"/>
      <sheetName val="Historic Pricing LOT 8S"/>
      <sheetName val="Tooling LOT 8S"/>
      <sheetName val="Historic Pricing LOT 9"/>
      <sheetName val="Tooling LOT 9"/>
      <sheetName val="Historic Pricing LOT 9S"/>
      <sheetName val="Tooling LOT 9S"/>
      <sheetName val="Historic Pricing all lots"/>
      <sheetName val="CB"/>
      <sheetName val="master data file"/>
      <sheetName val="specs"/>
      <sheetName val="rev"/>
      <sheetName val="FOUNDRY (2)"/>
      <sheetName val="Data Collection Template"/>
      <sheetName val="wiring devices parts list"/>
      <sheetName val="Wiring Devices data temp"/>
      <sheetName val="Wiring devices pricing and EAU"/>
      <sheetName val="DELETED PARTS"/>
      <sheetName val="Wiring Devices weights 10-16"/>
      <sheetName val="FOUNDRY"/>
      <sheetName val="Names"/>
      <sheetName val="Staging Financials"/>
      <sheetName val="Detail-Benefits"/>
      <sheetName val="HPS Slit Coil (Centralia)"/>
      <sheetName val="Lot_Listing"/>
      <sheetName val="Historic_Pricing_LOT_1"/>
      <sheetName val="Historic_Pricing_LOT_2"/>
      <sheetName val="Historic_Pricing_LOT_2S"/>
      <sheetName val="Historic_Pricing_LOT_3"/>
      <sheetName val="Historic_Pricing_LOT_4"/>
      <sheetName val="Tooling_for_LOT_4"/>
      <sheetName val="Historic_Pricing_LOT_5"/>
      <sheetName val="Historic_Pricing_LOT_6"/>
      <sheetName val="Historic_Pricing_LOT_7"/>
      <sheetName val="Tooling_LOT_7"/>
      <sheetName val="Historic_Pricing_LOT_7S"/>
      <sheetName val="Tooling_LOT_7S"/>
      <sheetName val="Historic_Pricing_LOT_8"/>
      <sheetName val="Tooling_LOT_8"/>
      <sheetName val="Historic_Pricing_LOT_8S"/>
      <sheetName val="Tooling_LOT_8S"/>
      <sheetName val="Historic_Pricing_LOT_9"/>
      <sheetName val="Tooling_LOT_9"/>
      <sheetName val="Historic_Pricing_LOT_9S"/>
      <sheetName val="Tooling_LOT_9S"/>
      <sheetName val="Historic_Pricing_all_lots"/>
      <sheetName val="master_data_file"/>
      <sheetName val="FOUNDRY_(2)"/>
      <sheetName val="Data_Collection_Template"/>
      <sheetName val="wiring_devices_parts_list"/>
      <sheetName val="Wiring_Devices_data_temp"/>
      <sheetName val="Wiring_devices_pricing_and_EAU"/>
      <sheetName val="DELETED_PARTS"/>
      <sheetName val="Wiring_Devices_weights_10-16"/>
      <sheetName val="Staging_Financials"/>
      <sheetName val="HPS_Slit_Coil_(Centralia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MTD"/>
      <sheetName val="L4 Tot Infusion"/>
      <sheetName val="L7 Domestic"/>
      <sheetName val="L7 CAD"/>
      <sheetName val="L7 Intl"/>
      <sheetName val="L6 Admn"/>
      <sheetName val="Table"/>
      <sheetName val="L4_Tot_Infusion"/>
      <sheetName val="L7_Domestic"/>
      <sheetName val="L7_CAD"/>
      <sheetName val="L7_Intl"/>
      <sheetName val="L6_Adm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EQUIPMENT1" xr10:uid="{0F8514DE-F68C-46C3-9132-6EFD379A72D1}" sourceName="EQUIPMENT1">
  <extLst>
    <x:ext xmlns:x15="http://schemas.microsoft.com/office/spreadsheetml/2010/11/main" uri="{2F2917AC-EB37-4324-AD4E-5DD8C200BD13}">
      <x15:tableSlicerCache tableId="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QUIPMENT1" xr10:uid="{F3D7BC1F-3539-4541-94BA-0E461F20DEC6}" cache="슬라이서_EQUIPMENT1" caption="EQUIPMENT1" columnCount="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79FAA8-CE95-4353-8BDE-01F02C1EC67F}" name="표1" displayName="표1" ref="B27:B103" totalsRowShown="0" headerRowDxfId="5" dataDxfId="3" headerRowBorderDxfId="4" tableBorderDxfId="2" totalsRowBorderDxfId="1" headerRowCellStyle="Normal 3" dataCellStyle="Normal 3">
  <autoFilter ref="B27:B103" xr:uid="{A479FAA8-CE95-4353-8BDE-01F02C1EC67F}"/>
  <tableColumns count="1">
    <tableColumn id="1" xr3:uid="{66F4A6E5-8739-4F32-8EF6-05489E70F59C}" name="EQUIPMENT1" dataDxfId="0" dataCellStyle="Normal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71A6-1068-436C-A20B-751BDE108AB4}">
  <sheetPr codeName="Sheet1"/>
  <dimension ref="A1:AN104"/>
  <sheetViews>
    <sheetView showGridLines="0" tabSelected="1" zoomScale="130" zoomScaleNormal="130" workbookViewId="0">
      <selection activeCell="K20" sqref="K20"/>
    </sheetView>
  </sheetViews>
  <sheetFormatPr defaultColWidth="8.7109375" defaultRowHeight="12"/>
  <cols>
    <col min="1" max="1" width="8.7109375" style="18"/>
    <col min="2" max="2" width="17" style="18" customWidth="1"/>
    <col min="3" max="3" width="16.140625" style="18" customWidth="1"/>
    <col min="4" max="5" width="12.7109375" style="17" customWidth="1"/>
    <col min="6" max="6" width="34.140625" style="17" bestFit="1" customWidth="1"/>
    <col min="7" max="7" width="10.85546875" style="17" hidden="1" customWidth="1"/>
    <col min="8" max="8" width="10.5703125" style="17" bestFit="1" customWidth="1"/>
    <col min="9" max="10" width="10.5703125" style="17" customWidth="1"/>
    <col min="11" max="11" width="30" style="17" customWidth="1"/>
    <col min="12" max="23" width="3.42578125" style="17" customWidth="1"/>
    <col min="24" max="24" width="6.28515625" style="17" customWidth="1"/>
    <col min="25" max="25" width="14.5703125" style="17" bestFit="1" customWidth="1"/>
    <col min="26" max="27" width="7.7109375" style="17" customWidth="1"/>
    <col min="28" max="28" width="17.140625" style="18" customWidth="1"/>
    <col min="29" max="37" width="7.7109375" style="18" customWidth="1"/>
    <col min="38" max="16384" width="8.7109375" style="18"/>
  </cols>
  <sheetData>
    <row r="1" spans="1:40" ht="30" customHeight="1">
      <c r="A1" s="47" t="s">
        <v>285</v>
      </c>
    </row>
    <row r="2" spans="1:40" ht="13.5">
      <c r="AB2" s="55" t="s">
        <v>120</v>
      </c>
      <c r="AC2" s="19" t="s">
        <v>152</v>
      </c>
      <c r="AD2" s="19" t="s">
        <v>153</v>
      </c>
      <c r="AE2" s="19" t="s">
        <v>154</v>
      </c>
      <c r="AF2" s="19" t="s">
        <v>155</v>
      </c>
      <c r="AG2" s="19" t="s">
        <v>156</v>
      </c>
      <c r="AH2" s="19" t="s">
        <v>157</v>
      </c>
      <c r="AI2" s="19" t="s">
        <v>158</v>
      </c>
      <c r="AJ2" s="19" t="s">
        <v>159</v>
      </c>
      <c r="AK2" s="19" t="s">
        <v>160</v>
      </c>
      <c r="AL2" s="19" t="s">
        <v>161</v>
      </c>
      <c r="AM2" s="19" t="s">
        <v>162</v>
      </c>
      <c r="AN2" s="19" t="s">
        <v>163</v>
      </c>
    </row>
    <row r="3" spans="1:40">
      <c r="AB3" s="32" t="s">
        <v>165</v>
      </c>
      <c r="AC3" s="19">
        <f>COUNTIFS(L28:L103,$AL$28,표1[EQUIPMENT1],$AB$2)</f>
        <v>4</v>
      </c>
      <c r="AD3" s="19">
        <f>COUNTIFS(M28:M103,$AL$28,표1[EQUIPMENT1],$AB$2)</f>
        <v>0</v>
      </c>
      <c r="AE3" s="19">
        <f>COUNTIFS(N28:N103,$AL$28,표1[EQUIPMENT1],$AB$2)</f>
        <v>0</v>
      </c>
      <c r="AF3" s="19">
        <f>COUNTIFS(O28:O103,$AL$28,표1[EQUIPMENT1],$AB$2)</f>
        <v>22</v>
      </c>
      <c r="AG3" s="19">
        <f>COUNTIFS(P28:P103,$AL$28,표1[EQUIPMENT1],$AB$2)</f>
        <v>23</v>
      </c>
      <c r="AH3" s="19">
        <f>COUNTIFS(Q28:Q103,$AL$28,표1[EQUIPMENT1],$AB$2)</f>
        <v>18</v>
      </c>
      <c r="AI3" s="19">
        <f>COUNTIFS(R28:R103,$AL$28,표1[EQUIPMENT1],$AB$2)</f>
        <v>28</v>
      </c>
      <c r="AJ3" s="19">
        <f>COUNTIFS(S28:S103,$AL$28,표1[EQUIPMENT1],$AB$2)</f>
        <v>22</v>
      </c>
      <c r="AK3" s="19">
        <f>COUNTIFS(T28:T103,$AL$28,표1[EQUIPMENT1],$AB$2)</f>
        <v>17</v>
      </c>
      <c r="AL3" s="19">
        <f>COUNTIFS(U28:U103,$AL$28,표1[EQUIPMENT1],$AB$2)</f>
        <v>22</v>
      </c>
      <c r="AM3" s="19">
        <f>COUNTIFS(V28:V103,$AL$28,표1[EQUIPMENT1],$AB$2)</f>
        <v>22</v>
      </c>
      <c r="AN3" s="19">
        <f>COUNTIFS(W28:W103,$AL$28,표1[EQUIPMENT1],$AB$2)</f>
        <v>26</v>
      </c>
    </row>
    <row r="4" spans="1:40">
      <c r="AB4" s="32" t="s">
        <v>166</v>
      </c>
      <c r="AC4" s="19">
        <f>COUNTIFS(L28:L103,"&lt;&gt;",표1[EQUIPMENT1],$AB$2)-AC3</f>
        <v>0</v>
      </c>
      <c r="AD4" s="19">
        <f>COUNTIFS(M28:M103,"&lt;&gt;",표1[EQUIPMENT1],$AB$2)-AD3</f>
        <v>0</v>
      </c>
      <c r="AE4" s="19">
        <f>COUNTIFS(N28:N103,"&lt;&gt;",표1[EQUIPMENT1],$AB$2)-AE3</f>
        <v>0</v>
      </c>
      <c r="AF4" s="19">
        <f>COUNTIFS(O28:O103,"&lt;&gt;",표1[EQUIPMENT1],$AB$2)-AF3</f>
        <v>0</v>
      </c>
      <c r="AG4" s="19">
        <f>COUNTIFS(P28:P103,"&lt;&gt;",표1[EQUIPMENT1],$AB$2)-AG3</f>
        <v>0</v>
      </c>
      <c r="AH4" s="19">
        <f>COUNTIFS(Q28:Q103,"&lt;&gt;",표1[EQUIPMENT1],$AB$2)-AH3</f>
        <v>0</v>
      </c>
      <c r="AI4" s="19">
        <f>COUNTIFS(R28:R103,"&lt;&gt;",표1[EQUIPMENT1],$AB$2)-AI3</f>
        <v>0</v>
      </c>
      <c r="AJ4" s="19">
        <f>COUNTIFS(S28:S103,"&lt;&gt;",표1[EQUIPMENT1],$AB$2)-AJ3</f>
        <v>0</v>
      </c>
      <c r="AK4" s="19">
        <f>COUNTIFS(T28:T103,"&lt;&gt;",표1[EQUIPMENT1],$AB$2)-AK3</f>
        <v>0</v>
      </c>
      <c r="AL4" s="19">
        <f>COUNTIFS(U28:U103,"&lt;&gt;",표1[EQUIPMENT1],$AB$2)-AL3</f>
        <v>0</v>
      </c>
      <c r="AM4" s="19">
        <f>COUNTIFS(V28:V103,"&lt;&gt;",표1[EQUIPMENT1],$AB$2)-AM3</f>
        <v>0</v>
      </c>
      <c r="AN4" s="19">
        <f>COUNTIFS(W28:W103,"&lt;&gt;",표1[EQUIPMENT1],$AB$2)-AN3</f>
        <v>0</v>
      </c>
    </row>
    <row r="5" spans="1:40">
      <c r="AB5" s="32" t="s">
        <v>282</v>
      </c>
      <c r="AC5" s="31">
        <f>AC4/AC3</f>
        <v>0</v>
      </c>
      <c r="AD5" s="31">
        <f>IFERROR(AD4/AD3,0)</f>
        <v>0</v>
      </c>
      <c r="AE5" s="31">
        <f>IFERROR(AE4/AE3,0)</f>
        <v>0</v>
      </c>
      <c r="AF5" s="31">
        <f t="shared" ref="AF5:AN5" si="0">IFERROR(AF4/AF3,0)</f>
        <v>0</v>
      </c>
      <c r="AG5" s="31">
        <f t="shared" si="0"/>
        <v>0</v>
      </c>
      <c r="AH5" s="31">
        <f t="shared" si="0"/>
        <v>0</v>
      </c>
      <c r="AI5" s="31">
        <f t="shared" si="0"/>
        <v>0</v>
      </c>
      <c r="AJ5" s="31">
        <f t="shared" si="0"/>
        <v>0</v>
      </c>
      <c r="AK5" s="31">
        <f t="shared" si="0"/>
        <v>0</v>
      </c>
      <c r="AL5" s="31">
        <f t="shared" si="0"/>
        <v>0</v>
      </c>
      <c r="AM5" s="31">
        <f t="shared" si="0"/>
        <v>0</v>
      </c>
      <c r="AN5" s="31">
        <f t="shared" si="0"/>
        <v>0</v>
      </c>
    </row>
    <row r="6" spans="1:40">
      <c r="AB6" s="27"/>
      <c r="AC6" s="17"/>
      <c r="AD6" s="17"/>
    </row>
    <row r="7" spans="1:40" ht="13.5">
      <c r="AB7" s="55" t="s">
        <v>283</v>
      </c>
      <c r="AC7" s="19" t="s">
        <v>152</v>
      </c>
      <c r="AD7" s="19" t="s">
        <v>153</v>
      </c>
      <c r="AE7" s="19" t="s">
        <v>154</v>
      </c>
      <c r="AF7" s="19" t="s">
        <v>155</v>
      </c>
      <c r="AG7" s="19" t="s">
        <v>156</v>
      </c>
      <c r="AH7" s="19" t="s">
        <v>157</v>
      </c>
      <c r="AI7" s="19" t="s">
        <v>158</v>
      </c>
      <c r="AJ7" s="19" t="s">
        <v>159</v>
      </c>
      <c r="AK7" s="19" t="s">
        <v>160</v>
      </c>
      <c r="AL7" s="19" t="s">
        <v>161</v>
      </c>
      <c r="AM7" s="19" t="s">
        <v>162</v>
      </c>
      <c r="AN7" s="19" t="s">
        <v>163</v>
      </c>
    </row>
    <row r="8" spans="1:40">
      <c r="AB8" s="32" t="s">
        <v>165</v>
      </c>
      <c r="AC8" s="19" t="e">
        <f>COUNTIFS(L31:L108,$AL$28,표1[EQUIPMENT1],$AB$2)</f>
        <v>#VALUE!</v>
      </c>
      <c r="AD8" s="19">
        <f t="shared" ref="AD8:AN8" si="1">COUNTIFS(M80:M98,$AL$28)</f>
        <v>4</v>
      </c>
      <c r="AE8" s="19">
        <f t="shared" si="1"/>
        <v>9</v>
      </c>
      <c r="AF8" s="19">
        <f t="shared" si="1"/>
        <v>4</v>
      </c>
      <c r="AG8" s="19">
        <f t="shared" si="1"/>
        <v>4</v>
      </c>
      <c r="AH8" s="19">
        <f t="shared" si="1"/>
        <v>14</v>
      </c>
      <c r="AI8" s="19">
        <f t="shared" si="1"/>
        <v>4</v>
      </c>
      <c r="AJ8" s="19">
        <f t="shared" si="1"/>
        <v>4</v>
      </c>
      <c r="AK8" s="19">
        <f t="shared" si="1"/>
        <v>9</v>
      </c>
      <c r="AL8" s="19">
        <f t="shared" si="1"/>
        <v>4</v>
      </c>
      <c r="AM8" s="19">
        <f t="shared" si="1"/>
        <v>4</v>
      </c>
      <c r="AN8" s="19">
        <f t="shared" si="1"/>
        <v>5</v>
      </c>
    </row>
    <row r="9" spans="1:40">
      <c r="AB9" s="32" t="s">
        <v>166</v>
      </c>
      <c r="AC9" s="19" t="e">
        <f>COUNTIFS($L$28:$L$103,"&lt;&gt;",표1[EQUIPMENT1],$AB$7)-$AC8</f>
        <v>#VALUE!</v>
      </c>
      <c r="AD9" s="19" t="e">
        <f>COUNTIFS($L$28:$L$103,"&lt;&gt;",표1[EQUIPMENT1],$AB$7)-$AC8</f>
        <v>#VALUE!</v>
      </c>
      <c r="AE9" s="19" t="e">
        <f>COUNTIFS($L$28:$L$103,"&lt;&gt;",표1[EQUIPMENT1],$AB$7)-$AC8</f>
        <v>#VALUE!</v>
      </c>
      <c r="AF9" s="19" t="e">
        <f>COUNTIFS($L$28:$L$103,"&lt;&gt;",표1[EQUIPMENT1],$AB$7)-$AC8</f>
        <v>#VALUE!</v>
      </c>
      <c r="AG9" s="19" t="e">
        <f>COUNTIFS($L$28:$L$103,"&lt;&gt;",표1[EQUIPMENT1],$AB$7)-$AC8</f>
        <v>#VALUE!</v>
      </c>
      <c r="AH9" s="19" t="e">
        <f>COUNTIFS($L$28:$L$103,"&lt;&gt;",표1[EQUIPMENT1],$AB$7)-$AC8</f>
        <v>#VALUE!</v>
      </c>
      <c r="AI9" s="19" t="e">
        <f>COUNTIFS($L$28:$L$103,"&lt;&gt;",표1[EQUIPMENT1],$AB$7)-$AC8</f>
        <v>#VALUE!</v>
      </c>
      <c r="AJ9" s="19" t="e">
        <f>COUNTIFS($L$28:$L$103,"&lt;&gt;",표1[EQUIPMENT1],$AB$7)-$AC8</f>
        <v>#VALUE!</v>
      </c>
      <c r="AK9" s="19" t="e">
        <f>COUNTIFS($L$28:$L$103,"&lt;&gt;",표1[EQUIPMENT1],$AB$7)-$AC8</f>
        <v>#VALUE!</v>
      </c>
      <c r="AL9" s="19" t="e">
        <f>COUNTIFS($L$28:$L$103,"&lt;&gt;",표1[EQUIPMENT1],$AB$7)-$AC8</f>
        <v>#VALUE!</v>
      </c>
      <c r="AM9" s="19" t="e">
        <f>COUNTIFS($L$28:$L$103,"&lt;&gt;",표1[EQUIPMENT1],$AB$7)-$AC8</f>
        <v>#VALUE!</v>
      </c>
      <c r="AN9" s="19" t="e">
        <f>COUNTIFS($L$28:$L$103,"&lt;&gt;",표1[EQUIPMENT1],$AB$7)-$AC8</f>
        <v>#VALUE!</v>
      </c>
    </row>
    <row r="10" spans="1:40">
      <c r="AB10" s="32" t="s">
        <v>282</v>
      </c>
      <c r="AC10" s="31" t="e">
        <f>AC9/AC8</f>
        <v>#VALUE!</v>
      </c>
      <c r="AD10" s="31">
        <f>IFERROR(AD9/AD8,0)</f>
        <v>0</v>
      </c>
      <c r="AE10" s="31">
        <f>IFERROR(AE9/AE8,0)</f>
        <v>0</v>
      </c>
      <c r="AF10" s="31">
        <f t="shared" ref="AF10:AN10" si="2">IFERROR(AF9/AF8,0)</f>
        <v>0</v>
      </c>
      <c r="AG10" s="31">
        <f t="shared" si="2"/>
        <v>0</v>
      </c>
      <c r="AH10" s="31">
        <f t="shared" si="2"/>
        <v>0</v>
      </c>
      <c r="AI10" s="31">
        <f t="shared" si="2"/>
        <v>0</v>
      </c>
      <c r="AJ10" s="31">
        <f t="shared" si="2"/>
        <v>0</v>
      </c>
      <c r="AK10" s="31">
        <f t="shared" si="2"/>
        <v>0</v>
      </c>
      <c r="AL10" s="31">
        <f t="shared" si="2"/>
        <v>0</v>
      </c>
      <c r="AM10" s="31">
        <f t="shared" si="2"/>
        <v>0</v>
      </c>
      <c r="AN10" s="31">
        <f t="shared" si="2"/>
        <v>0</v>
      </c>
    </row>
    <row r="11" spans="1:40">
      <c r="AB11" s="27"/>
      <c r="AC11" s="17"/>
      <c r="AD11" s="17"/>
    </row>
    <row r="12" spans="1:40" ht="13.5">
      <c r="AB12" s="55" t="s">
        <v>271</v>
      </c>
      <c r="AC12" s="19" t="s">
        <v>152</v>
      </c>
      <c r="AD12" s="19" t="s">
        <v>153</v>
      </c>
      <c r="AE12" s="19" t="s">
        <v>154</v>
      </c>
      <c r="AF12" s="19" t="s">
        <v>155</v>
      </c>
      <c r="AG12" s="19" t="s">
        <v>156</v>
      </c>
      <c r="AH12" s="19" t="s">
        <v>157</v>
      </c>
      <c r="AI12" s="19" t="s">
        <v>158</v>
      </c>
      <c r="AJ12" s="19" t="s">
        <v>159</v>
      </c>
      <c r="AK12" s="19" t="s">
        <v>160</v>
      </c>
      <c r="AL12" s="19" t="s">
        <v>161</v>
      </c>
      <c r="AM12" s="19" t="s">
        <v>162</v>
      </c>
      <c r="AN12" s="19" t="s">
        <v>163</v>
      </c>
    </row>
    <row r="13" spans="1:40">
      <c r="AB13" s="32" t="s">
        <v>165</v>
      </c>
      <c r="AC13" s="19">
        <f>COUNTIFS(L28:L103,$AL$28,표1[EQUIPMENT1],$AB$12)</f>
        <v>1</v>
      </c>
      <c r="AD13" s="19">
        <f>COUNTIFS(M28:M103,$AL$28,표1[EQUIPMENT1],$AB$12)</f>
        <v>0</v>
      </c>
      <c r="AE13" s="19">
        <f>COUNTIFS(N28:N103,$AL$28,표1[EQUIPMENT1],$AB$12)</f>
        <v>1</v>
      </c>
      <c r="AF13" s="19">
        <f>COUNTIFS(O28:O103,$AL$28,표1[EQUIPMENT1],$AB$12)</f>
        <v>0</v>
      </c>
      <c r="AG13" s="19">
        <f>COUNTIFS(P28:P103,$AL$28,표1[EQUIPMENT1],$AB$12)</f>
        <v>1</v>
      </c>
      <c r="AH13" s="19">
        <f>COUNTIFS(Q28:Q103,$AL$28,표1[EQUIPMENT1],$AB$12)</f>
        <v>1</v>
      </c>
      <c r="AI13" s="19">
        <f>COUNTIFS(R28:R103,$AL$28,표1[EQUIPMENT1],$AB$12)</f>
        <v>0</v>
      </c>
      <c r="AJ13" s="19">
        <f>COUNTIFS(S28:S103,$AL$28,표1[EQUIPMENT1],$AB$12)</f>
        <v>0</v>
      </c>
      <c r="AK13" s="19">
        <f>COUNTIFS(T28:T103,$AL$28,표1[EQUIPMENT1],$AB$12)</f>
        <v>0</v>
      </c>
      <c r="AL13" s="19">
        <f>COUNTIFS(U28:U103,$AL$28,표1[EQUIPMENT1],$AB$12)</f>
        <v>0</v>
      </c>
      <c r="AM13" s="19">
        <f>COUNTIFS(V28:V103,$AL$28,표1[EQUIPMENT1],$AB$12)</f>
        <v>0</v>
      </c>
      <c r="AN13" s="19">
        <f>COUNTIFS(W28:W103,$AL$28,표1[EQUIPMENT1],$AB$12)</f>
        <v>1</v>
      </c>
    </row>
    <row r="14" spans="1:40">
      <c r="AB14" s="32" t="s">
        <v>166</v>
      </c>
      <c r="AC14" s="19">
        <f>COUNTIFS(L28:L103,"&lt;&gt;",표1[EQUIPMENT1],$AB$12)-AC$13</f>
        <v>0</v>
      </c>
      <c r="AD14" s="19">
        <f>COUNTIFS(M28:M103,"&lt;&gt;",표1[EQUIPMENT1],$AB$12)-AD$13</f>
        <v>0</v>
      </c>
      <c r="AE14" s="19">
        <f>COUNTIFS(N28:N103,"&lt;&gt;",표1[EQUIPMENT1],$AB$12)-AE$13</f>
        <v>0</v>
      </c>
      <c r="AF14" s="19">
        <f>COUNTIFS(O28:O103,"&lt;&gt;",표1[EQUIPMENT1],$AB$12)-AF$13</f>
        <v>0</v>
      </c>
      <c r="AG14" s="19">
        <f>COUNTIFS(P28:P103,"&lt;&gt;",표1[EQUIPMENT1],$AB$12)-AG$13</f>
        <v>0</v>
      </c>
      <c r="AH14" s="19">
        <f>COUNTIFS(Q28:Q103,"&lt;&gt;",표1[EQUIPMENT1],$AB$12)-AH$13</f>
        <v>0</v>
      </c>
      <c r="AI14" s="19">
        <f>COUNTIFS(R28:R103,"&lt;&gt;",표1[EQUIPMENT1],$AB$12)-AI$13</f>
        <v>0</v>
      </c>
      <c r="AJ14" s="19">
        <f>COUNTIFS(S28:S103,"&lt;&gt;",표1[EQUIPMENT1],$AB$12)-AJ$13</f>
        <v>0</v>
      </c>
      <c r="AK14" s="19">
        <f>COUNTIFS(T28:T103,"&lt;&gt;",표1[EQUIPMENT1],$AB$12)-AK$13</f>
        <v>0</v>
      </c>
      <c r="AL14" s="19">
        <f>COUNTIFS(U28:U103,"&lt;&gt;",표1[EQUIPMENT1],$AB$12)-AL$13</f>
        <v>0</v>
      </c>
      <c r="AM14" s="19">
        <f>COUNTIFS(V28:V103,"&lt;&gt;",표1[EQUIPMENT1],$AB$12)-AM$13</f>
        <v>0</v>
      </c>
      <c r="AN14" s="19">
        <f>COUNTIFS(W28:W103,"&lt;&gt;",표1[EQUIPMENT1],$AB$12)-AN$13</f>
        <v>0</v>
      </c>
    </row>
    <row r="15" spans="1:40">
      <c r="AB15" s="32" t="s">
        <v>282</v>
      </c>
      <c r="AC15" s="31">
        <f>AC14/AC13</f>
        <v>0</v>
      </c>
      <c r="AD15" s="31">
        <f>IFERROR(AD14/AD13,0)</f>
        <v>0</v>
      </c>
      <c r="AE15" s="31">
        <f>IFERROR(AE14/AE13,0)</f>
        <v>0</v>
      </c>
      <c r="AF15" s="31">
        <f t="shared" ref="AF15:AN15" si="3">IFERROR(AF14/AF13,0)</f>
        <v>0</v>
      </c>
      <c r="AG15" s="31">
        <f t="shared" si="3"/>
        <v>0</v>
      </c>
      <c r="AH15" s="31">
        <f t="shared" si="3"/>
        <v>0</v>
      </c>
      <c r="AI15" s="31">
        <f t="shared" si="3"/>
        <v>0</v>
      </c>
      <c r="AJ15" s="31">
        <f t="shared" si="3"/>
        <v>0</v>
      </c>
      <c r="AK15" s="31">
        <f t="shared" si="3"/>
        <v>0</v>
      </c>
      <c r="AL15" s="31">
        <f t="shared" si="3"/>
        <v>0</v>
      </c>
      <c r="AM15" s="31">
        <f t="shared" si="3"/>
        <v>0</v>
      </c>
      <c r="AN15" s="31">
        <f t="shared" si="3"/>
        <v>0</v>
      </c>
    </row>
    <row r="16" spans="1:40">
      <c r="AB16" s="27"/>
      <c r="AC16" s="17"/>
      <c r="AD16" s="17"/>
    </row>
    <row r="17" spans="1:40" ht="13.5">
      <c r="AB17" s="55" t="s">
        <v>284</v>
      </c>
      <c r="AC17" s="19" t="s">
        <v>152</v>
      </c>
      <c r="AD17" s="19" t="s">
        <v>153</v>
      </c>
      <c r="AE17" s="19" t="s">
        <v>154</v>
      </c>
      <c r="AF17" s="19" t="s">
        <v>155</v>
      </c>
      <c r="AG17" s="19" t="s">
        <v>156</v>
      </c>
      <c r="AH17" s="19" t="s">
        <v>157</v>
      </c>
      <c r="AI17" s="19" t="s">
        <v>158</v>
      </c>
      <c r="AJ17" s="19" t="s">
        <v>159</v>
      </c>
      <c r="AK17" s="19" t="s">
        <v>160</v>
      </c>
      <c r="AL17" s="19" t="s">
        <v>161</v>
      </c>
      <c r="AM17" s="19" t="s">
        <v>162</v>
      </c>
      <c r="AN17" s="19" t="s">
        <v>163</v>
      </c>
    </row>
    <row r="18" spans="1:40">
      <c r="AB18" s="32" t="s">
        <v>165</v>
      </c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</row>
    <row r="19" spans="1:40">
      <c r="AB19" s="32" t="s">
        <v>166</v>
      </c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spans="1:40">
      <c r="Y20" s="18"/>
      <c r="Z20" s="18"/>
      <c r="AA20" s="18"/>
      <c r="AB20" s="32" t="s">
        <v>282</v>
      </c>
      <c r="AC20" s="31" t="e">
        <f>AC19/AC18</f>
        <v>#DIV/0!</v>
      </c>
      <c r="AD20" s="31">
        <f>IFERROR(AD19/AD18,0)</f>
        <v>0</v>
      </c>
      <c r="AE20" s="31">
        <f>IFERROR(AE19/AE18,0)</f>
        <v>0</v>
      </c>
      <c r="AF20" s="31">
        <f t="shared" ref="AF20:AN20" si="4">IFERROR(AF19/AF18,0)</f>
        <v>0</v>
      </c>
      <c r="AG20" s="31">
        <f t="shared" si="4"/>
        <v>0</v>
      </c>
      <c r="AH20" s="31">
        <f t="shared" si="4"/>
        <v>0</v>
      </c>
      <c r="AI20" s="31">
        <f t="shared" si="4"/>
        <v>0</v>
      </c>
      <c r="AJ20" s="31">
        <f t="shared" si="4"/>
        <v>0</v>
      </c>
      <c r="AK20" s="31">
        <f t="shared" si="4"/>
        <v>0</v>
      </c>
      <c r="AL20" s="31">
        <f t="shared" si="4"/>
        <v>0</v>
      </c>
      <c r="AM20" s="31">
        <f t="shared" si="4"/>
        <v>0</v>
      </c>
      <c r="AN20" s="31">
        <f t="shared" si="4"/>
        <v>0</v>
      </c>
    </row>
    <row r="21" spans="1:40">
      <c r="Y21" s="18"/>
      <c r="Z21" s="18"/>
      <c r="AA21" s="18"/>
      <c r="AB21" s="60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</row>
    <row r="22" spans="1:40">
      <c r="Y22" s="18"/>
      <c r="Z22" s="18"/>
      <c r="AA22" s="18"/>
      <c r="AB22" s="60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</row>
    <row r="23" spans="1:40">
      <c r="Y23" s="18"/>
      <c r="Z23" s="18"/>
      <c r="AA23" s="18"/>
      <c r="AB23" s="60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</row>
    <row r="24" spans="1:40">
      <c r="Y24" s="18"/>
      <c r="Z24" s="18"/>
      <c r="AA24" s="18"/>
      <c r="AB24" s="60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</row>
    <row r="25" spans="1:40">
      <c r="Y25" s="18"/>
      <c r="Z25" s="18"/>
      <c r="AA25" s="18"/>
      <c r="AB25" s="60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</row>
    <row r="26" spans="1:40" ht="21.75" customHeight="1">
      <c r="L26" s="17">
        <v>2025</v>
      </c>
      <c r="M26" s="17" t="s">
        <v>287</v>
      </c>
      <c r="N26" s="17" t="s">
        <v>287</v>
      </c>
      <c r="O26" s="17" t="s">
        <v>287</v>
      </c>
      <c r="P26" s="17" t="s">
        <v>287</v>
      </c>
      <c r="Q26" s="17" t="s">
        <v>287</v>
      </c>
      <c r="R26" s="17" t="s">
        <v>287</v>
      </c>
      <c r="S26" s="17" t="s">
        <v>287</v>
      </c>
      <c r="T26" s="17" t="s">
        <v>287</v>
      </c>
      <c r="U26" s="17" t="s">
        <v>287</v>
      </c>
      <c r="V26" s="17" t="s">
        <v>287</v>
      </c>
      <c r="W26" s="17" t="s">
        <v>287</v>
      </c>
      <c r="Y26" s="60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</row>
    <row r="27" spans="1:40" ht="25.5">
      <c r="A27" s="19" t="s">
        <v>275</v>
      </c>
      <c r="B27" s="49" t="s">
        <v>269</v>
      </c>
      <c r="C27" s="50"/>
      <c r="D27" s="19" t="s">
        <v>270</v>
      </c>
      <c r="E27" s="19" t="s">
        <v>2</v>
      </c>
      <c r="F27" s="19" t="s">
        <v>3</v>
      </c>
      <c r="G27" s="29" t="s">
        <v>164</v>
      </c>
      <c r="H27" s="29" t="s">
        <v>164</v>
      </c>
      <c r="I27" s="29" t="s">
        <v>288</v>
      </c>
      <c r="J27" s="29" t="s">
        <v>289</v>
      </c>
      <c r="K27" s="19" t="s">
        <v>151</v>
      </c>
      <c r="L27" s="69" t="s">
        <v>152</v>
      </c>
      <c r="M27" s="69" t="s">
        <v>153</v>
      </c>
      <c r="N27" s="69" t="s">
        <v>154</v>
      </c>
      <c r="O27" s="69" t="s">
        <v>155</v>
      </c>
      <c r="P27" s="69" t="s">
        <v>156</v>
      </c>
      <c r="Q27" s="69" t="s">
        <v>157</v>
      </c>
      <c r="R27" s="69" t="s">
        <v>158</v>
      </c>
      <c r="S27" s="69" t="s">
        <v>159</v>
      </c>
      <c r="T27" s="69" t="s">
        <v>160</v>
      </c>
      <c r="U27" s="69" t="s">
        <v>161</v>
      </c>
      <c r="V27" s="69" t="s">
        <v>162</v>
      </c>
      <c r="W27" s="69" t="s">
        <v>163</v>
      </c>
    </row>
    <row r="28" spans="1:40" ht="16.5" customHeight="1">
      <c r="A28" s="56">
        <v>1</v>
      </c>
      <c r="B28" s="57" t="s">
        <v>248</v>
      </c>
      <c r="C28" s="58" t="s">
        <v>168</v>
      </c>
      <c r="D28" s="59" t="s">
        <v>101</v>
      </c>
      <c r="E28" s="59" t="s">
        <v>4</v>
      </c>
      <c r="F28" s="59" t="s">
        <v>102</v>
      </c>
      <c r="G28" s="56">
        <v>1</v>
      </c>
      <c r="H28" s="56">
        <v>3</v>
      </c>
      <c r="I28" s="56"/>
      <c r="J28" s="56"/>
      <c r="K28" s="59"/>
      <c r="L28" s="56" t="s">
        <v>9</v>
      </c>
      <c r="M28" s="56"/>
      <c r="N28" s="56"/>
      <c r="O28" s="56" t="s">
        <v>9</v>
      </c>
      <c r="P28" s="56"/>
      <c r="Q28" s="56"/>
      <c r="R28" s="56" t="s">
        <v>9</v>
      </c>
      <c r="S28" s="56"/>
      <c r="T28" s="56"/>
      <c r="U28" s="56" t="s">
        <v>9</v>
      </c>
      <c r="V28" s="56"/>
      <c r="W28" s="56"/>
      <c r="X28" s="27"/>
      <c r="AL28" s="17" t="s">
        <v>9</v>
      </c>
    </row>
    <row r="29" spans="1:40" ht="16.5" customHeight="1">
      <c r="A29" s="56">
        <v>2</v>
      </c>
      <c r="B29" s="57" t="s">
        <v>248</v>
      </c>
      <c r="C29" s="58" t="s">
        <v>168</v>
      </c>
      <c r="D29" s="59" t="s">
        <v>101</v>
      </c>
      <c r="E29" s="59" t="s">
        <v>4</v>
      </c>
      <c r="F29" s="59" t="s">
        <v>118</v>
      </c>
      <c r="G29" s="56">
        <v>6</v>
      </c>
      <c r="H29" s="56">
        <v>6</v>
      </c>
      <c r="I29" s="56"/>
      <c r="J29" s="56"/>
      <c r="K29" s="59"/>
      <c r="L29" s="56" t="s">
        <v>9</v>
      </c>
      <c r="M29" s="56"/>
      <c r="N29" s="56"/>
      <c r="O29" s="56"/>
      <c r="P29" s="56"/>
      <c r="Q29" s="56"/>
      <c r="R29" s="56" t="s">
        <v>9</v>
      </c>
      <c r="S29" s="56"/>
      <c r="T29" s="56"/>
      <c r="U29" s="56"/>
      <c r="V29" s="56"/>
      <c r="W29" s="56"/>
      <c r="X29" s="27"/>
    </row>
    <row r="30" spans="1:40" ht="16.5" customHeight="1">
      <c r="A30" s="56">
        <v>3</v>
      </c>
      <c r="B30" s="57" t="s">
        <v>248</v>
      </c>
      <c r="C30" s="58" t="s">
        <v>168</v>
      </c>
      <c r="D30" s="59" t="s">
        <v>101</v>
      </c>
      <c r="E30" s="59" t="s">
        <v>4</v>
      </c>
      <c r="F30" s="59" t="s">
        <v>117</v>
      </c>
      <c r="G30" s="56">
        <v>12</v>
      </c>
      <c r="H30" s="56">
        <v>12</v>
      </c>
      <c r="I30" s="56"/>
      <c r="J30" s="56"/>
      <c r="K30" s="59"/>
      <c r="L30" s="56" t="s">
        <v>9</v>
      </c>
      <c r="M30" s="56"/>
      <c r="N30" s="56"/>
      <c r="O30" s="56"/>
      <c r="P30" s="56"/>
      <c r="Q30" s="56"/>
      <c r="R30" s="56"/>
      <c r="S30" s="56"/>
      <c r="T30" s="56" t="s">
        <v>9</v>
      </c>
      <c r="U30" s="56"/>
      <c r="V30" s="56"/>
      <c r="W30" s="56"/>
      <c r="X30" s="27"/>
    </row>
    <row r="31" spans="1:40" ht="16.5" customHeight="1">
      <c r="A31" s="56">
        <v>4</v>
      </c>
      <c r="B31" s="57" t="s">
        <v>248</v>
      </c>
      <c r="C31" s="58" t="s">
        <v>168</v>
      </c>
      <c r="D31" s="59" t="s">
        <v>101</v>
      </c>
      <c r="E31" s="59" t="s">
        <v>6</v>
      </c>
      <c r="F31" s="59" t="s">
        <v>103</v>
      </c>
      <c r="G31" s="56">
        <v>12</v>
      </c>
      <c r="H31" s="56">
        <v>12</v>
      </c>
      <c r="I31" s="56"/>
      <c r="J31" s="56"/>
      <c r="K31" s="59" t="s">
        <v>104</v>
      </c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 t="s">
        <v>9</v>
      </c>
      <c r="X31" s="27"/>
    </row>
    <row r="32" spans="1:40" ht="16.5" customHeight="1">
      <c r="A32" s="56">
        <v>5</v>
      </c>
      <c r="B32" s="57" t="s">
        <v>248</v>
      </c>
      <c r="C32" s="58" t="s">
        <v>168</v>
      </c>
      <c r="D32" s="59" t="s">
        <v>101</v>
      </c>
      <c r="E32" s="59" t="s">
        <v>6</v>
      </c>
      <c r="F32" s="59" t="s">
        <v>105</v>
      </c>
      <c r="G32" s="56">
        <v>3</v>
      </c>
      <c r="H32" s="56">
        <v>3</v>
      </c>
      <c r="I32" s="56"/>
      <c r="J32" s="56"/>
      <c r="K32" s="59"/>
      <c r="L32" s="56" t="s">
        <v>9</v>
      </c>
      <c r="M32" s="56"/>
      <c r="N32" s="56"/>
      <c r="O32" s="56" t="s">
        <v>9</v>
      </c>
      <c r="P32" s="56"/>
      <c r="Q32" s="56"/>
      <c r="R32" s="56" t="s">
        <v>9</v>
      </c>
      <c r="S32" s="56"/>
      <c r="T32" s="56"/>
      <c r="U32" s="56" t="s">
        <v>9</v>
      </c>
      <c r="V32" s="56"/>
      <c r="W32" s="56"/>
      <c r="X32" s="27"/>
    </row>
    <row r="33" spans="1:25" ht="16.5" customHeight="1">
      <c r="A33" s="56">
        <v>6</v>
      </c>
      <c r="B33" s="57" t="s">
        <v>248</v>
      </c>
      <c r="C33" s="58" t="s">
        <v>168</v>
      </c>
      <c r="D33" s="59" t="s">
        <v>101</v>
      </c>
      <c r="E33" s="59" t="s">
        <v>6</v>
      </c>
      <c r="F33" s="59" t="s">
        <v>106</v>
      </c>
      <c r="G33" s="56">
        <v>3</v>
      </c>
      <c r="H33" s="56">
        <v>6</v>
      </c>
      <c r="I33" s="56"/>
      <c r="J33" s="56"/>
      <c r="K33" s="59"/>
      <c r="L33" s="56"/>
      <c r="M33" s="56"/>
      <c r="N33" s="56"/>
      <c r="O33" s="56"/>
      <c r="P33" s="56"/>
      <c r="Q33" s="56" t="s">
        <v>9</v>
      </c>
      <c r="R33" s="56"/>
      <c r="S33" s="56"/>
      <c r="T33" s="56"/>
      <c r="U33" s="56"/>
      <c r="V33" s="56"/>
      <c r="W33" s="56" t="s">
        <v>9</v>
      </c>
      <c r="X33" s="27"/>
    </row>
    <row r="34" spans="1:25" ht="16.5" customHeight="1">
      <c r="A34" s="56">
        <v>7</v>
      </c>
      <c r="B34" s="57" t="s">
        <v>248</v>
      </c>
      <c r="C34" s="58" t="s">
        <v>168</v>
      </c>
      <c r="D34" s="59" t="s">
        <v>101</v>
      </c>
      <c r="E34" s="59" t="s">
        <v>6</v>
      </c>
      <c r="F34" s="59" t="s">
        <v>107</v>
      </c>
      <c r="G34" s="56">
        <v>12</v>
      </c>
      <c r="H34" s="56">
        <v>12</v>
      </c>
      <c r="I34" s="56"/>
      <c r="J34" s="56"/>
      <c r="K34" s="59" t="s">
        <v>114</v>
      </c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 t="s">
        <v>9</v>
      </c>
      <c r="X34" s="27"/>
    </row>
    <row r="35" spans="1:25" ht="16.5" customHeight="1">
      <c r="A35" s="56">
        <v>8</v>
      </c>
      <c r="B35" s="57" t="s">
        <v>248</v>
      </c>
      <c r="C35" s="58" t="s">
        <v>168</v>
      </c>
      <c r="D35" s="59" t="s">
        <v>101</v>
      </c>
      <c r="E35" s="59" t="s">
        <v>6</v>
      </c>
      <c r="F35" s="59" t="s">
        <v>108</v>
      </c>
      <c r="G35" s="56">
        <v>12</v>
      </c>
      <c r="H35" s="56">
        <v>12</v>
      </c>
      <c r="I35" s="56"/>
      <c r="J35" s="56"/>
      <c r="K35" s="59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 t="s">
        <v>9</v>
      </c>
      <c r="X35" s="27"/>
    </row>
    <row r="36" spans="1:25" ht="16.5" customHeight="1">
      <c r="A36" s="56">
        <v>9</v>
      </c>
      <c r="B36" s="57" t="s">
        <v>248</v>
      </c>
      <c r="C36" s="58" t="s">
        <v>168</v>
      </c>
      <c r="D36" s="59" t="s">
        <v>101</v>
      </c>
      <c r="E36" s="59" t="s">
        <v>6</v>
      </c>
      <c r="F36" s="59" t="s">
        <v>109</v>
      </c>
      <c r="G36" s="56">
        <v>12</v>
      </c>
      <c r="H36" s="56">
        <v>12</v>
      </c>
      <c r="I36" s="56"/>
      <c r="J36" s="56"/>
      <c r="K36" s="59" t="s">
        <v>116</v>
      </c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 t="s">
        <v>9</v>
      </c>
      <c r="X36" s="27"/>
    </row>
    <row r="37" spans="1:25" ht="16.5" customHeight="1">
      <c r="A37" s="56" t="s">
        <v>286</v>
      </c>
      <c r="B37" s="57" t="s">
        <v>248</v>
      </c>
      <c r="C37" s="58" t="s">
        <v>168</v>
      </c>
      <c r="D37" s="59" t="s">
        <v>101</v>
      </c>
      <c r="E37" s="59" t="s">
        <v>6</v>
      </c>
      <c r="F37" s="59" t="s">
        <v>110</v>
      </c>
      <c r="G37" s="56">
        <v>12</v>
      </c>
      <c r="H37" s="56">
        <v>12</v>
      </c>
      <c r="I37" s="56"/>
      <c r="J37" s="56"/>
      <c r="K37" s="59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 t="s">
        <v>9</v>
      </c>
      <c r="X37" s="27"/>
      <c r="Y37" s="27"/>
    </row>
    <row r="38" spans="1:25" ht="16.5" customHeight="1">
      <c r="A38" s="56">
        <v>11</v>
      </c>
      <c r="B38" s="57" t="s">
        <v>248</v>
      </c>
      <c r="C38" s="58" t="s">
        <v>168</v>
      </c>
      <c r="D38" s="59" t="s">
        <v>101</v>
      </c>
      <c r="E38" s="59" t="s">
        <v>6</v>
      </c>
      <c r="F38" s="59" t="s">
        <v>111</v>
      </c>
      <c r="G38" s="56">
        <v>12</v>
      </c>
      <c r="H38" s="56">
        <v>12</v>
      </c>
      <c r="I38" s="56"/>
      <c r="J38" s="56"/>
      <c r="K38" s="59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 t="s">
        <v>9</v>
      </c>
      <c r="X38" s="27"/>
      <c r="Y38" s="27"/>
    </row>
    <row r="39" spans="1:25" ht="16.5" customHeight="1">
      <c r="A39" s="56">
        <v>12</v>
      </c>
      <c r="B39" s="57" t="s">
        <v>248</v>
      </c>
      <c r="C39" s="58" t="s">
        <v>168</v>
      </c>
      <c r="D39" s="59" t="s">
        <v>101</v>
      </c>
      <c r="E39" s="59" t="s">
        <v>6</v>
      </c>
      <c r="F39" s="59" t="s">
        <v>112</v>
      </c>
      <c r="G39" s="56">
        <v>12</v>
      </c>
      <c r="H39" s="56">
        <v>12</v>
      </c>
      <c r="I39" s="56"/>
      <c r="J39" s="56"/>
      <c r="K39" s="59" t="s">
        <v>113</v>
      </c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 t="s">
        <v>9</v>
      </c>
      <c r="X39" s="27"/>
      <c r="Y39" s="27"/>
    </row>
    <row r="40" spans="1:25" ht="16.5" customHeight="1">
      <c r="A40" s="56">
        <v>13</v>
      </c>
      <c r="B40" s="57" t="s">
        <v>248</v>
      </c>
      <c r="C40" s="58" t="s">
        <v>168</v>
      </c>
      <c r="D40" s="59" t="s">
        <v>101</v>
      </c>
      <c r="E40" s="59" t="s">
        <v>6</v>
      </c>
      <c r="F40" s="59" t="s">
        <v>115</v>
      </c>
      <c r="G40" s="56">
        <v>3</v>
      </c>
      <c r="H40" s="56">
        <v>3</v>
      </c>
      <c r="I40" s="56"/>
      <c r="J40" s="56"/>
      <c r="K40" s="59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 t="s">
        <v>9</v>
      </c>
      <c r="X40" s="27"/>
      <c r="Y40" s="27"/>
    </row>
    <row r="41" spans="1:25" ht="16.5" customHeight="1">
      <c r="A41" s="56">
        <v>14</v>
      </c>
      <c r="B41" s="57" t="s">
        <v>248</v>
      </c>
      <c r="C41" s="58" t="s">
        <v>168</v>
      </c>
      <c r="D41" s="59" t="s">
        <v>100</v>
      </c>
      <c r="E41" s="59" t="s">
        <v>8</v>
      </c>
      <c r="F41" s="59" t="s">
        <v>123</v>
      </c>
      <c r="G41" s="56">
        <v>1</v>
      </c>
      <c r="H41" s="56">
        <v>1</v>
      </c>
      <c r="I41" s="56"/>
      <c r="J41" s="56"/>
      <c r="K41" s="59"/>
      <c r="L41" s="56"/>
      <c r="M41" s="56"/>
      <c r="N41" s="56"/>
      <c r="O41" s="56" t="s">
        <v>9</v>
      </c>
      <c r="P41" s="56" t="s">
        <v>9</v>
      </c>
      <c r="Q41" s="56" t="s">
        <v>9</v>
      </c>
      <c r="R41" s="56" t="s">
        <v>9</v>
      </c>
      <c r="S41" s="56" t="s">
        <v>9</v>
      </c>
      <c r="T41" s="56" t="s">
        <v>9</v>
      </c>
      <c r="U41" s="56" t="s">
        <v>9</v>
      </c>
      <c r="V41" s="56" t="s">
        <v>9</v>
      </c>
      <c r="W41" s="56" t="s">
        <v>9</v>
      </c>
      <c r="X41" s="27"/>
      <c r="Y41" s="27"/>
    </row>
    <row r="42" spans="1:25" ht="16.5" customHeight="1">
      <c r="A42" s="56">
        <v>15</v>
      </c>
      <c r="B42" s="57" t="s">
        <v>248</v>
      </c>
      <c r="C42" s="58" t="s">
        <v>168</v>
      </c>
      <c r="D42" s="59" t="s">
        <v>100</v>
      </c>
      <c r="E42" s="59" t="s">
        <v>6</v>
      </c>
      <c r="F42" s="59" t="s">
        <v>121</v>
      </c>
      <c r="G42" s="56">
        <v>3</v>
      </c>
      <c r="H42" s="56">
        <v>3</v>
      </c>
      <c r="I42" s="56"/>
      <c r="J42" s="56"/>
      <c r="K42" s="59"/>
      <c r="L42" s="56"/>
      <c r="M42" s="56"/>
      <c r="N42" s="56"/>
      <c r="O42" s="56"/>
      <c r="P42" s="56" t="s">
        <v>9</v>
      </c>
      <c r="Q42" s="56"/>
      <c r="R42" s="56"/>
      <c r="S42" s="56" t="s">
        <v>9</v>
      </c>
      <c r="T42" s="56"/>
      <c r="U42" s="56"/>
      <c r="V42" s="56" t="s">
        <v>9</v>
      </c>
      <c r="W42" s="56"/>
      <c r="X42" s="27"/>
      <c r="Y42" s="27"/>
    </row>
    <row r="43" spans="1:25" ht="16.5" customHeight="1">
      <c r="A43" s="56">
        <v>16</v>
      </c>
      <c r="B43" s="57" t="s">
        <v>248</v>
      </c>
      <c r="C43" s="58" t="s">
        <v>168</v>
      </c>
      <c r="D43" s="59" t="s">
        <v>100</v>
      </c>
      <c r="E43" s="59" t="s">
        <v>6</v>
      </c>
      <c r="F43" s="59" t="s">
        <v>122</v>
      </c>
      <c r="G43" s="56">
        <v>3</v>
      </c>
      <c r="H43" s="56">
        <v>3</v>
      </c>
      <c r="I43" s="56"/>
      <c r="J43" s="56"/>
      <c r="K43" s="59"/>
      <c r="L43" s="56"/>
      <c r="M43" s="56"/>
      <c r="N43" s="56"/>
      <c r="O43" s="56"/>
      <c r="P43" s="56" t="s">
        <v>9</v>
      </c>
      <c r="Q43" s="56"/>
      <c r="R43" s="56"/>
      <c r="S43" s="56" t="s">
        <v>9</v>
      </c>
      <c r="T43" s="56"/>
      <c r="U43" s="56"/>
      <c r="V43" s="56" t="s">
        <v>9</v>
      </c>
      <c r="W43" s="56"/>
      <c r="X43" s="27"/>
      <c r="Y43" s="27"/>
    </row>
    <row r="44" spans="1:25" ht="16.5" customHeight="1">
      <c r="A44" s="56">
        <v>17</v>
      </c>
      <c r="B44" s="57" t="s">
        <v>248</v>
      </c>
      <c r="C44" s="58" t="s">
        <v>168</v>
      </c>
      <c r="D44" s="59" t="s">
        <v>100</v>
      </c>
      <c r="E44" s="59" t="s">
        <v>6</v>
      </c>
      <c r="F44" s="59" t="s">
        <v>125</v>
      </c>
      <c r="G44" s="56">
        <v>3</v>
      </c>
      <c r="H44" s="56">
        <v>3</v>
      </c>
      <c r="I44" s="56"/>
      <c r="J44" s="56"/>
      <c r="K44" s="59"/>
      <c r="L44" s="56"/>
      <c r="M44" s="56"/>
      <c r="N44" s="56"/>
      <c r="O44" s="56"/>
      <c r="P44" s="56" t="s">
        <v>9</v>
      </c>
      <c r="Q44" s="56"/>
      <c r="R44" s="56"/>
      <c r="S44" s="56" t="s">
        <v>9</v>
      </c>
      <c r="T44" s="56"/>
      <c r="U44" s="56"/>
      <c r="V44" s="56" t="s">
        <v>9</v>
      </c>
      <c r="W44" s="56"/>
      <c r="X44" s="27"/>
      <c r="Y44" s="27"/>
    </row>
    <row r="45" spans="1:25" ht="16.5" customHeight="1">
      <c r="A45" s="56">
        <v>18</v>
      </c>
      <c r="B45" s="57" t="s">
        <v>248</v>
      </c>
      <c r="C45" s="58" t="s">
        <v>168</v>
      </c>
      <c r="D45" s="59" t="s">
        <v>100</v>
      </c>
      <c r="E45" s="59" t="s">
        <v>6</v>
      </c>
      <c r="F45" s="59" t="s">
        <v>124</v>
      </c>
      <c r="G45" s="56">
        <v>3</v>
      </c>
      <c r="H45" s="56">
        <v>3</v>
      </c>
      <c r="I45" s="56"/>
      <c r="J45" s="56"/>
      <c r="K45" s="59"/>
      <c r="L45" s="56"/>
      <c r="M45" s="56"/>
      <c r="N45" s="56"/>
      <c r="O45" s="56"/>
      <c r="P45" s="56" t="s">
        <v>9</v>
      </c>
      <c r="Q45" s="56"/>
      <c r="R45" s="56"/>
      <c r="S45" s="56" t="s">
        <v>9</v>
      </c>
      <c r="T45" s="56"/>
      <c r="U45" s="56"/>
      <c r="V45" s="56" t="s">
        <v>9</v>
      </c>
      <c r="W45" s="56"/>
      <c r="X45" s="27"/>
      <c r="Y45" s="27"/>
    </row>
    <row r="46" spans="1:25" ht="16.5" customHeight="1">
      <c r="A46" s="56" t="s">
        <v>286</v>
      </c>
      <c r="B46" s="57" t="s">
        <v>248</v>
      </c>
      <c r="C46" s="58" t="s">
        <v>168</v>
      </c>
      <c r="D46" s="59" t="s">
        <v>100</v>
      </c>
      <c r="E46" s="59" t="s">
        <v>6</v>
      </c>
      <c r="F46" s="59" t="s">
        <v>126</v>
      </c>
      <c r="G46" s="56">
        <v>3</v>
      </c>
      <c r="H46" s="56">
        <v>3</v>
      </c>
      <c r="I46" s="56"/>
      <c r="J46" s="56"/>
      <c r="K46" s="59"/>
      <c r="L46" s="56"/>
      <c r="M46" s="56"/>
      <c r="N46" s="56"/>
      <c r="O46" s="56"/>
      <c r="P46" s="56" t="s">
        <v>9</v>
      </c>
      <c r="Q46" s="56"/>
      <c r="R46" s="56"/>
      <c r="S46" s="56" t="s">
        <v>9</v>
      </c>
      <c r="T46" s="56"/>
      <c r="U46" s="56"/>
      <c r="V46" s="56" t="s">
        <v>9</v>
      </c>
      <c r="W46" s="56"/>
      <c r="X46" s="27"/>
      <c r="Y46" s="27"/>
    </row>
    <row r="47" spans="1:25" ht="16.5" customHeight="1">
      <c r="A47" s="56">
        <v>20</v>
      </c>
      <c r="B47" s="57" t="s">
        <v>248</v>
      </c>
      <c r="C47" s="58" t="s">
        <v>168</v>
      </c>
      <c r="D47" s="59" t="s">
        <v>100</v>
      </c>
      <c r="E47" s="59" t="s">
        <v>6</v>
      </c>
      <c r="F47" s="59" t="s">
        <v>127</v>
      </c>
      <c r="G47" s="56">
        <v>3</v>
      </c>
      <c r="H47" s="56">
        <v>3</v>
      </c>
      <c r="I47" s="56"/>
      <c r="J47" s="56"/>
      <c r="K47" s="59"/>
      <c r="L47" s="56"/>
      <c r="M47" s="56"/>
      <c r="N47" s="56"/>
      <c r="O47" s="56"/>
      <c r="P47" s="56" t="s">
        <v>9</v>
      </c>
      <c r="Q47" s="56"/>
      <c r="R47" s="56"/>
      <c r="S47" s="56" t="s">
        <v>9</v>
      </c>
      <c r="T47" s="56"/>
      <c r="U47" s="56"/>
      <c r="V47" s="56" t="s">
        <v>9</v>
      </c>
      <c r="W47" s="56"/>
      <c r="X47" s="27"/>
      <c r="Y47" s="27"/>
    </row>
    <row r="48" spans="1:25" ht="16.5" customHeight="1">
      <c r="A48" s="56">
        <v>21</v>
      </c>
      <c r="B48" s="57" t="s">
        <v>248</v>
      </c>
      <c r="C48" s="58" t="s">
        <v>168</v>
      </c>
      <c r="D48" s="59" t="s">
        <v>100</v>
      </c>
      <c r="E48" s="59" t="s">
        <v>6</v>
      </c>
      <c r="F48" s="59" t="s">
        <v>128</v>
      </c>
      <c r="G48" s="56">
        <v>3</v>
      </c>
      <c r="H48" s="56">
        <v>3</v>
      </c>
      <c r="I48" s="56"/>
      <c r="J48" s="56"/>
      <c r="K48" s="59"/>
      <c r="L48" s="56"/>
      <c r="M48" s="56"/>
      <c r="N48" s="56"/>
      <c r="O48" s="56"/>
      <c r="P48" s="56" t="s">
        <v>9</v>
      </c>
      <c r="Q48" s="56"/>
      <c r="R48" s="56"/>
      <c r="S48" s="56" t="s">
        <v>9</v>
      </c>
      <c r="T48" s="56"/>
      <c r="U48" s="56"/>
      <c r="V48" s="56" t="s">
        <v>9</v>
      </c>
      <c r="W48" s="56"/>
      <c r="X48" s="27"/>
      <c r="Y48" s="27"/>
    </row>
    <row r="49" spans="1:25" ht="16.5" customHeight="1">
      <c r="A49" s="56">
        <v>22</v>
      </c>
      <c r="B49" s="57" t="s">
        <v>248</v>
      </c>
      <c r="C49" s="58" t="s">
        <v>168</v>
      </c>
      <c r="D49" s="59" t="s">
        <v>100</v>
      </c>
      <c r="E49" s="59" t="s">
        <v>6</v>
      </c>
      <c r="F49" s="59" t="s">
        <v>129</v>
      </c>
      <c r="G49" s="56">
        <v>3</v>
      </c>
      <c r="H49" s="56">
        <v>12</v>
      </c>
      <c r="I49" s="56"/>
      <c r="J49" s="56"/>
      <c r="K49" s="59"/>
      <c r="L49" s="56"/>
      <c r="M49" s="56"/>
      <c r="N49" s="56"/>
      <c r="O49" s="56"/>
      <c r="P49" s="56" t="s">
        <v>9</v>
      </c>
      <c r="Q49" s="56"/>
      <c r="R49" s="56"/>
      <c r="S49" s="56"/>
      <c r="T49" s="56"/>
      <c r="U49" s="56"/>
      <c r="V49" s="56"/>
      <c r="W49" s="56"/>
      <c r="X49" s="27"/>
      <c r="Y49" s="27"/>
    </row>
    <row r="50" spans="1:25" ht="16.5" customHeight="1">
      <c r="A50" s="56">
        <v>23</v>
      </c>
      <c r="B50" s="57" t="s">
        <v>248</v>
      </c>
      <c r="C50" s="58" t="s">
        <v>168</v>
      </c>
      <c r="D50" s="59" t="s">
        <v>130</v>
      </c>
      <c r="E50" s="59" t="s">
        <v>8</v>
      </c>
      <c r="F50" s="59" t="s">
        <v>131</v>
      </c>
      <c r="G50" s="56">
        <v>6</v>
      </c>
      <c r="H50" s="56">
        <v>6</v>
      </c>
      <c r="I50" s="56"/>
      <c r="J50" s="56"/>
      <c r="K50" s="59"/>
      <c r="L50" s="56"/>
      <c r="M50" s="56"/>
      <c r="N50" s="56"/>
      <c r="O50" s="56" t="s">
        <v>9</v>
      </c>
      <c r="P50" s="56"/>
      <c r="Q50" s="56"/>
      <c r="R50" s="56"/>
      <c r="S50" s="56"/>
      <c r="T50" s="56"/>
      <c r="U50" s="56" t="s">
        <v>9</v>
      </c>
      <c r="V50" s="56"/>
      <c r="W50" s="56"/>
      <c r="X50" s="27"/>
      <c r="Y50" s="27"/>
    </row>
    <row r="51" spans="1:25" ht="16.5" customHeight="1">
      <c r="A51" s="56">
        <v>24</v>
      </c>
      <c r="B51" s="57" t="s">
        <v>248</v>
      </c>
      <c r="C51" s="58" t="s">
        <v>168</v>
      </c>
      <c r="D51" s="59" t="s">
        <v>130</v>
      </c>
      <c r="E51" s="59" t="s">
        <v>8</v>
      </c>
      <c r="F51" s="59" t="s">
        <v>132</v>
      </c>
      <c r="G51" s="56">
        <v>6</v>
      </c>
      <c r="H51" s="56">
        <v>6</v>
      </c>
      <c r="I51" s="56"/>
      <c r="J51" s="56"/>
      <c r="K51" s="59"/>
      <c r="L51" s="56"/>
      <c r="M51" s="56"/>
      <c r="N51" s="56"/>
      <c r="O51" s="56" t="s">
        <v>9</v>
      </c>
      <c r="P51" s="56"/>
      <c r="Q51" s="56"/>
      <c r="R51" s="56"/>
      <c r="S51" s="56"/>
      <c r="T51" s="56"/>
      <c r="U51" s="56" t="s">
        <v>9</v>
      </c>
      <c r="V51" s="56"/>
      <c r="W51" s="56"/>
      <c r="X51" s="27"/>
      <c r="Y51" s="27"/>
    </row>
    <row r="52" spans="1:25" ht="16.5" customHeight="1">
      <c r="A52" s="56">
        <v>25</v>
      </c>
      <c r="B52" s="57" t="s">
        <v>248</v>
      </c>
      <c r="C52" s="58" t="s">
        <v>168</v>
      </c>
      <c r="D52" s="59" t="s">
        <v>133</v>
      </c>
      <c r="E52" s="59" t="s">
        <v>6</v>
      </c>
      <c r="F52" s="59" t="s">
        <v>134</v>
      </c>
      <c r="G52" s="56">
        <v>1</v>
      </c>
      <c r="H52" s="56">
        <v>1</v>
      </c>
      <c r="I52" s="56"/>
      <c r="J52" s="56"/>
      <c r="K52" s="59" t="s">
        <v>144</v>
      </c>
      <c r="L52" s="56"/>
      <c r="M52" s="56"/>
      <c r="N52" s="56"/>
      <c r="O52" s="56" t="s">
        <v>9</v>
      </c>
      <c r="P52" s="56" t="s">
        <v>9</v>
      </c>
      <c r="Q52" s="56" t="s">
        <v>9</v>
      </c>
      <c r="R52" s="56" t="s">
        <v>9</v>
      </c>
      <c r="S52" s="56" t="s">
        <v>9</v>
      </c>
      <c r="T52" s="56" t="s">
        <v>9</v>
      </c>
      <c r="U52" s="56" t="s">
        <v>9</v>
      </c>
      <c r="V52" s="56" t="s">
        <v>9</v>
      </c>
      <c r="W52" s="56" t="s">
        <v>9</v>
      </c>
      <c r="X52" s="27"/>
      <c r="Y52" s="27"/>
    </row>
    <row r="53" spans="1:25" ht="16.5" customHeight="1">
      <c r="A53" s="56">
        <v>26</v>
      </c>
      <c r="B53" s="57" t="s">
        <v>248</v>
      </c>
      <c r="C53" s="58" t="s">
        <v>168</v>
      </c>
      <c r="D53" s="59" t="s">
        <v>133</v>
      </c>
      <c r="E53" s="59" t="s">
        <v>6</v>
      </c>
      <c r="F53" s="59" t="s">
        <v>135</v>
      </c>
      <c r="G53" s="56">
        <v>3</v>
      </c>
      <c r="H53" s="56">
        <v>3</v>
      </c>
      <c r="I53" s="56"/>
      <c r="J53" s="56"/>
      <c r="K53" s="59"/>
      <c r="L53" s="56"/>
      <c r="M53" s="56"/>
      <c r="N53" s="56"/>
      <c r="O53" s="56" t="s">
        <v>9</v>
      </c>
      <c r="P53" s="56"/>
      <c r="Q53" s="56"/>
      <c r="R53" s="56" t="s">
        <v>9</v>
      </c>
      <c r="S53" s="56"/>
      <c r="T53" s="56"/>
      <c r="U53" s="56" t="s">
        <v>9</v>
      </c>
      <c r="V53" s="56"/>
      <c r="W53" s="56"/>
      <c r="X53" s="27"/>
      <c r="Y53" s="27"/>
    </row>
    <row r="54" spans="1:25" ht="16.5" customHeight="1">
      <c r="A54" s="56">
        <v>27</v>
      </c>
      <c r="B54" s="57" t="s">
        <v>248</v>
      </c>
      <c r="C54" s="58" t="s">
        <v>168</v>
      </c>
      <c r="D54" s="59" t="s">
        <v>133</v>
      </c>
      <c r="E54" s="59" t="s">
        <v>6</v>
      </c>
      <c r="F54" s="59" t="s">
        <v>146</v>
      </c>
      <c r="G54" s="56">
        <v>6</v>
      </c>
      <c r="H54" s="56">
        <v>6</v>
      </c>
      <c r="I54" s="56"/>
      <c r="J54" s="56"/>
      <c r="K54" s="59"/>
      <c r="L54" s="56"/>
      <c r="M54" s="56"/>
      <c r="N54" s="56"/>
      <c r="O54" s="56"/>
      <c r="P54" s="56"/>
      <c r="Q54" s="56"/>
      <c r="R54" s="56" t="s">
        <v>9</v>
      </c>
      <c r="S54" s="56"/>
      <c r="T54" s="56"/>
      <c r="U54" s="56"/>
      <c r="V54" s="56"/>
      <c r="W54" s="56"/>
      <c r="X54" s="27"/>
      <c r="Y54" s="27"/>
    </row>
    <row r="55" spans="1:25" ht="16.5" customHeight="1">
      <c r="A55" s="56">
        <v>28</v>
      </c>
      <c r="B55" s="57" t="s">
        <v>248</v>
      </c>
      <c r="C55" s="58" t="s">
        <v>168</v>
      </c>
      <c r="D55" s="59" t="s">
        <v>133</v>
      </c>
      <c r="E55" s="59" t="s">
        <v>6</v>
      </c>
      <c r="F55" s="59" t="s">
        <v>136</v>
      </c>
      <c r="G55" s="56">
        <v>6</v>
      </c>
      <c r="H55" s="56">
        <v>6</v>
      </c>
      <c r="I55" s="56"/>
      <c r="J55" s="56"/>
      <c r="K55" s="59" t="s">
        <v>145</v>
      </c>
      <c r="L55" s="56"/>
      <c r="M55" s="56"/>
      <c r="N55" s="56"/>
      <c r="O55" s="56"/>
      <c r="P55" s="56"/>
      <c r="Q55" s="56"/>
      <c r="R55" s="56" t="s">
        <v>9</v>
      </c>
      <c r="S55" s="56"/>
      <c r="T55" s="56"/>
      <c r="U55" s="56"/>
      <c r="V55" s="56"/>
      <c r="W55" s="56"/>
      <c r="X55" s="27"/>
      <c r="Y55" s="27"/>
    </row>
    <row r="56" spans="1:25" ht="16.5" customHeight="1">
      <c r="A56" s="56">
        <v>29</v>
      </c>
      <c r="B56" s="57" t="s">
        <v>248</v>
      </c>
      <c r="C56" s="58" t="s">
        <v>168</v>
      </c>
      <c r="D56" s="59" t="s">
        <v>133</v>
      </c>
      <c r="E56" s="59" t="s">
        <v>6</v>
      </c>
      <c r="F56" s="59" t="s">
        <v>137</v>
      </c>
      <c r="G56" s="56">
        <v>6</v>
      </c>
      <c r="H56" s="56">
        <v>6</v>
      </c>
      <c r="I56" s="56"/>
      <c r="J56" s="56"/>
      <c r="K56" s="59"/>
      <c r="L56" s="56"/>
      <c r="M56" s="56"/>
      <c r="N56" s="56"/>
      <c r="O56" s="56"/>
      <c r="P56" s="56"/>
      <c r="Q56" s="56"/>
      <c r="R56" s="56" t="s">
        <v>9</v>
      </c>
      <c r="S56" s="56"/>
      <c r="T56" s="56"/>
      <c r="U56" s="56"/>
      <c r="V56" s="56"/>
      <c r="W56" s="56"/>
      <c r="X56" s="27"/>
      <c r="Y56" s="27"/>
    </row>
    <row r="57" spans="1:25" ht="16.5" customHeight="1">
      <c r="A57" s="56">
        <v>30</v>
      </c>
      <c r="B57" s="57" t="s">
        <v>248</v>
      </c>
      <c r="C57" s="58" t="s">
        <v>168</v>
      </c>
      <c r="D57" s="59" t="s">
        <v>133</v>
      </c>
      <c r="E57" s="59" t="s">
        <v>6</v>
      </c>
      <c r="F57" s="59" t="s">
        <v>138</v>
      </c>
      <c r="G57" s="56">
        <v>3</v>
      </c>
      <c r="H57" s="56">
        <v>6</v>
      </c>
      <c r="I57" s="56"/>
      <c r="J57" s="56"/>
      <c r="K57" s="59"/>
      <c r="L57" s="56"/>
      <c r="M57" s="56"/>
      <c r="N57" s="56"/>
      <c r="O57" s="56"/>
      <c r="P57" s="56"/>
      <c r="Q57" s="56"/>
      <c r="R57" s="56" t="s">
        <v>9</v>
      </c>
      <c r="S57" s="56"/>
      <c r="T57" s="56"/>
      <c r="U57" s="56"/>
      <c r="V57" s="56"/>
      <c r="W57" s="56"/>
      <c r="X57" s="27"/>
      <c r="Y57" s="27"/>
    </row>
    <row r="58" spans="1:25" ht="16.5" customHeight="1">
      <c r="A58" s="56">
        <v>31</v>
      </c>
      <c r="B58" s="57" t="s">
        <v>248</v>
      </c>
      <c r="C58" s="58" t="s">
        <v>168</v>
      </c>
      <c r="D58" s="59" t="s">
        <v>133</v>
      </c>
      <c r="E58" s="59" t="s">
        <v>6</v>
      </c>
      <c r="F58" s="59" t="s">
        <v>139</v>
      </c>
      <c r="G58" s="56">
        <v>3</v>
      </c>
      <c r="H58" s="56">
        <v>6</v>
      </c>
      <c r="I58" s="56"/>
      <c r="J58" s="56"/>
      <c r="K58" s="59"/>
      <c r="L58" s="56"/>
      <c r="M58" s="56"/>
      <c r="N58" s="56"/>
      <c r="O58" s="56"/>
      <c r="P58" s="56"/>
      <c r="Q58" s="56"/>
      <c r="R58" s="56" t="s">
        <v>9</v>
      </c>
      <c r="S58" s="56"/>
      <c r="T58" s="56"/>
      <c r="U58" s="56"/>
      <c r="V58" s="56"/>
      <c r="W58" s="56"/>
      <c r="X58" s="27"/>
      <c r="Y58" s="27"/>
    </row>
    <row r="59" spans="1:25" ht="16.5" customHeight="1">
      <c r="A59" s="56">
        <v>32</v>
      </c>
      <c r="B59" s="57" t="s">
        <v>248</v>
      </c>
      <c r="C59" s="58" t="s">
        <v>168</v>
      </c>
      <c r="D59" s="59" t="s">
        <v>133</v>
      </c>
      <c r="E59" s="59" t="s">
        <v>6</v>
      </c>
      <c r="F59" s="59" t="s">
        <v>140</v>
      </c>
      <c r="G59" s="56">
        <v>3</v>
      </c>
      <c r="H59" s="56">
        <v>3</v>
      </c>
      <c r="I59" s="56"/>
      <c r="J59" s="56"/>
      <c r="K59" s="59"/>
      <c r="L59" s="56"/>
      <c r="M59" s="56"/>
      <c r="N59" s="56"/>
      <c r="O59" s="56" t="s">
        <v>9</v>
      </c>
      <c r="P59" s="56"/>
      <c r="Q59" s="56"/>
      <c r="R59" s="56" t="s">
        <v>9</v>
      </c>
      <c r="S59" s="56"/>
      <c r="T59" s="56"/>
      <c r="U59" s="56" t="s">
        <v>9</v>
      </c>
      <c r="V59" s="56"/>
      <c r="W59" s="56"/>
      <c r="X59" s="27"/>
      <c r="Y59" s="27"/>
    </row>
    <row r="60" spans="1:25" ht="16.5" customHeight="1">
      <c r="A60" s="56">
        <v>33</v>
      </c>
      <c r="B60" s="57" t="s">
        <v>248</v>
      </c>
      <c r="C60" s="58" t="s">
        <v>168</v>
      </c>
      <c r="D60" s="59" t="s">
        <v>133</v>
      </c>
      <c r="E60" s="59" t="s">
        <v>6</v>
      </c>
      <c r="F60" s="59" t="s">
        <v>141</v>
      </c>
      <c r="G60" s="56">
        <v>3</v>
      </c>
      <c r="H60" s="56">
        <v>3</v>
      </c>
      <c r="I60" s="56"/>
      <c r="J60" s="56"/>
      <c r="K60" s="59"/>
      <c r="L60" s="56"/>
      <c r="M60" s="56"/>
      <c r="N60" s="56"/>
      <c r="O60" s="56" t="s">
        <v>9</v>
      </c>
      <c r="P60" s="56"/>
      <c r="Q60" s="56"/>
      <c r="R60" s="56" t="s">
        <v>9</v>
      </c>
      <c r="S60" s="56"/>
      <c r="T60" s="56"/>
      <c r="U60" s="56" t="s">
        <v>9</v>
      </c>
      <c r="V60" s="56"/>
      <c r="W60" s="56"/>
      <c r="X60" s="27"/>
      <c r="Y60" s="27"/>
    </row>
    <row r="61" spans="1:25" ht="16.5" customHeight="1">
      <c r="A61" s="56">
        <v>34</v>
      </c>
      <c r="B61" s="57" t="s">
        <v>248</v>
      </c>
      <c r="C61" s="58" t="s">
        <v>168</v>
      </c>
      <c r="D61" s="59" t="s">
        <v>133</v>
      </c>
      <c r="E61" s="59" t="s">
        <v>6</v>
      </c>
      <c r="F61" s="59" t="s">
        <v>142</v>
      </c>
      <c r="G61" s="56">
        <v>3</v>
      </c>
      <c r="H61" s="56">
        <v>3</v>
      </c>
      <c r="I61" s="56"/>
      <c r="J61" s="56"/>
      <c r="K61" s="59"/>
      <c r="L61" s="56"/>
      <c r="M61" s="56"/>
      <c r="N61" s="56"/>
      <c r="O61" s="56" t="s">
        <v>9</v>
      </c>
      <c r="P61" s="56"/>
      <c r="Q61" s="56"/>
      <c r="R61" s="56" t="s">
        <v>9</v>
      </c>
      <c r="S61" s="56"/>
      <c r="T61" s="56"/>
      <c r="U61" s="56" t="s">
        <v>9</v>
      </c>
      <c r="V61" s="56"/>
      <c r="W61" s="56"/>
      <c r="X61" s="27"/>
      <c r="Y61" s="27"/>
    </row>
    <row r="62" spans="1:25" ht="16.5" customHeight="1">
      <c r="A62" s="56">
        <v>35</v>
      </c>
      <c r="B62" s="57" t="s">
        <v>248</v>
      </c>
      <c r="C62" s="58" t="s">
        <v>168</v>
      </c>
      <c r="D62" s="59" t="s">
        <v>133</v>
      </c>
      <c r="E62" s="59" t="s">
        <v>6</v>
      </c>
      <c r="F62" s="59" t="s">
        <v>143</v>
      </c>
      <c r="G62" s="56">
        <v>3</v>
      </c>
      <c r="H62" s="56">
        <v>6</v>
      </c>
      <c r="I62" s="56"/>
      <c r="J62" s="56"/>
      <c r="K62" s="59"/>
      <c r="L62" s="56"/>
      <c r="M62" s="56"/>
      <c r="N62" s="56"/>
      <c r="O62" s="56"/>
      <c r="P62" s="56"/>
      <c r="Q62" s="56"/>
      <c r="R62" s="56" t="s">
        <v>9</v>
      </c>
      <c r="S62" s="56"/>
      <c r="T62" s="56"/>
      <c r="U62" s="56"/>
      <c r="V62" s="56"/>
      <c r="W62" s="56"/>
      <c r="X62" s="27"/>
      <c r="Y62" s="27"/>
    </row>
    <row r="63" spans="1:25" ht="16.5" customHeight="1">
      <c r="A63" s="56">
        <v>36</v>
      </c>
      <c r="B63" s="57" t="s">
        <v>248</v>
      </c>
      <c r="C63" s="58" t="s">
        <v>168</v>
      </c>
      <c r="D63" s="59" t="s">
        <v>133</v>
      </c>
      <c r="E63" s="59" t="s">
        <v>6</v>
      </c>
      <c r="F63" s="59" t="s">
        <v>128</v>
      </c>
      <c r="G63" s="56">
        <v>3</v>
      </c>
      <c r="H63" s="56">
        <v>6</v>
      </c>
      <c r="I63" s="56"/>
      <c r="J63" s="56"/>
      <c r="K63" s="59"/>
      <c r="L63" s="56"/>
      <c r="M63" s="56"/>
      <c r="N63" s="56"/>
      <c r="O63" s="56"/>
      <c r="P63" s="56"/>
      <c r="Q63" s="56"/>
      <c r="R63" s="56" t="s">
        <v>9</v>
      </c>
      <c r="S63" s="56"/>
      <c r="T63" s="56"/>
      <c r="U63" s="56"/>
      <c r="V63" s="56"/>
      <c r="W63" s="56"/>
      <c r="X63" s="27"/>
      <c r="Y63" s="27"/>
    </row>
    <row r="64" spans="1:25" ht="16.5" customHeight="1">
      <c r="A64" s="56">
        <v>37</v>
      </c>
      <c r="B64" s="57" t="s">
        <v>248</v>
      </c>
      <c r="C64" s="58" t="s">
        <v>168</v>
      </c>
      <c r="D64" s="59" t="s">
        <v>147</v>
      </c>
      <c r="E64" s="59" t="s">
        <v>6</v>
      </c>
      <c r="F64" s="59" t="s">
        <v>148</v>
      </c>
      <c r="G64" s="56">
        <v>1</v>
      </c>
      <c r="H64" s="56">
        <v>1</v>
      </c>
      <c r="I64" s="56"/>
      <c r="J64" s="56"/>
      <c r="K64" s="59"/>
      <c r="L64" s="56"/>
      <c r="M64" s="56"/>
      <c r="N64" s="56"/>
      <c r="O64" s="56" t="s">
        <v>9</v>
      </c>
      <c r="P64" s="56" t="s">
        <v>9</v>
      </c>
      <c r="Q64" s="56" t="s">
        <v>9</v>
      </c>
      <c r="R64" s="56" t="s">
        <v>9</v>
      </c>
      <c r="S64" s="56" t="s">
        <v>9</v>
      </c>
      <c r="T64" s="56" t="s">
        <v>9</v>
      </c>
      <c r="U64" s="56" t="s">
        <v>9</v>
      </c>
      <c r="V64" s="56" t="s">
        <v>9</v>
      </c>
      <c r="W64" s="56" t="s">
        <v>9</v>
      </c>
    </row>
    <row r="65" spans="1:23" ht="16.5" customHeight="1">
      <c r="A65" s="56">
        <v>38</v>
      </c>
      <c r="B65" s="57" t="s">
        <v>248</v>
      </c>
      <c r="C65" s="58" t="s">
        <v>168</v>
      </c>
      <c r="D65" s="59" t="s">
        <v>147</v>
      </c>
      <c r="E65" s="59" t="s">
        <v>6</v>
      </c>
      <c r="F65" s="59" t="s">
        <v>149</v>
      </c>
      <c r="G65" s="56">
        <v>1</v>
      </c>
      <c r="H65" s="56">
        <v>1</v>
      </c>
      <c r="I65" s="56"/>
      <c r="J65" s="56"/>
      <c r="K65" s="59"/>
      <c r="L65" s="56"/>
      <c r="M65" s="56"/>
      <c r="N65" s="56"/>
      <c r="O65" s="56" t="s">
        <v>9</v>
      </c>
      <c r="P65" s="56" t="s">
        <v>9</v>
      </c>
      <c r="Q65" s="56" t="s">
        <v>9</v>
      </c>
      <c r="R65" s="56" t="s">
        <v>9</v>
      </c>
      <c r="S65" s="56" t="s">
        <v>9</v>
      </c>
      <c r="T65" s="56" t="s">
        <v>9</v>
      </c>
      <c r="U65" s="56" t="s">
        <v>9</v>
      </c>
      <c r="V65" s="56" t="s">
        <v>9</v>
      </c>
      <c r="W65" s="56" t="s">
        <v>9</v>
      </c>
    </row>
    <row r="66" spans="1:23" ht="16.5" customHeight="1">
      <c r="A66" s="56">
        <v>39</v>
      </c>
      <c r="B66" s="57" t="s">
        <v>248</v>
      </c>
      <c r="C66" s="58" t="s">
        <v>168</v>
      </c>
      <c r="D66" s="59" t="s">
        <v>147</v>
      </c>
      <c r="E66" s="59" t="s">
        <v>6</v>
      </c>
      <c r="F66" s="59" t="s">
        <v>134</v>
      </c>
      <c r="G66" s="56">
        <v>3</v>
      </c>
      <c r="H66" s="56">
        <v>3</v>
      </c>
      <c r="I66" s="56"/>
      <c r="J66" s="56"/>
      <c r="K66" s="59"/>
      <c r="L66" s="56"/>
      <c r="M66" s="56"/>
      <c r="N66" s="56"/>
      <c r="O66" s="56"/>
      <c r="P66" s="56" t="s">
        <v>9</v>
      </c>
      <c r="Q66" s="56"/>
      <c r="R66" s="56"/>
      <c r="S66" s="56" t="s">
        <v>9</v>
      </c>
      <c r="T66" s="56"/>
      <c r="U66" s="56"/>
      <c r="V66" s="56" t="s">
        <v>9</v>
      </c>
      <c r="W66" s="56"/>
    </row>
    <row r="67" spans="1:23" ht="16.5" customHeight="1">
      <c r="A67" s="56">
        <v>40</v>
      </c>
      <c r="B67" s="57" t="s">
        <v>248</v>
      </c>
      <c r="C67" s="58" t="s">
        <v>168</v>
      </c>
      <c r="D67" s="59" t="s">
        <v>147</v>
      </c>
      <c r="E67" s="59" t="s">
        <v>6</v>
      </c>
      <c r="F67" s="59" t="s">
        <v>150</v>
      </c>
      <c r="G67" s="56">
        <v>1</v>
      </c>
      <c r="H67" s="56">
        <v>1</v>
      </c>
      <c r="I67" s="56"/>
      <c r="J67" s="56"/>
      <c r="K67" s="59"/>
      <c r="L67" s="56"/>
      <c r="M67" s="56"/>
      <c r="N67" s="56"/>
      <c r="O67" s="56" t="s">
        <v>9</v>
      </c>
      <c r="P67" s="56" t="s">
        <v>9</v>
      </c>
      <c r="Q67" s="56" t="s">
        <v>9</v>
      </c>
      <c r="R67" s="56" t="s">
        <v>9</v>
      </c>
      <c r="S67" s="56" t="s">
        <v>9</v>
      </c>
      <c r="T67" s="56" t="s">
        <v>9</v>
      </c>
      <c r="U67" s="56" t="s">
        <v>9</v>
      </c>
      <c r="V67" s="56" t="s">
        <v>9</v>
      </c>
      <c r="W67" s="56" t="s">
        <v>9</v>
      </c>
    </row>
    <row r="68" spans="1:23" ht="16.5" customHeight="1">
      <c r="A68" s="56">
        <v>41</v>
      </c>
      <c r="B68" s="57" t="s">
        <v>248</v>
      </c>
      <c r="C68" s="58" t="s">
        <v>174</v>
      </c>
      <c r="D68" s="59" t="s">
        <v>199</v>
      </c>
      <c r="E68" s="59" t="s">
        <v>6</v>
      </c>
      <c r="F68" s="59" t="s">
        <v>149</v>
      </c>
      <c r="G68" s="56"/>
      <c r="H68" s="56">
        <v>12</v>
      </c>
      <c r="I68" s="56"/>
      <c r="J68" s="56"/>
      <c r="K68" s="59"/>
      <c r="L68" s="56"/>
      <c r="M68" s="56"/>
      <c r="N68" s="56"/>
      <c r="O68" s="56" t="s">
        <v>9</v>
      </c>
      <c r="P68" s="56" t="s">
        <v>9</v>
      </c>
      <c r="Q68" s="56" t="s">
        <v>9</v>
      </c>
      <c r="R68" s="56" t="s">
        <v>9</v>
      </c>
      <c r="S68" s="56" t="s">
        <v>9</v>
      </c>
      <c r="T68" s="56" t="s">
        <v>9</v>
      </c>
      <c r="U68" s="56" t="s">
        <v>9</v>
      </c>
      <c r="V68" s="56" t="s">
        <v>9</v>
      </c>
      <c r="W68" s="56" t="s">
        <v>9</v>
      </c>
    </row>
    <row r="69" spans="1:23" ht="16.5" customHeight="1">
      <c r="A69" s="56">
        <v>42</v>
      </c>
      <c r="B69" s="57" t="s">
        <v>248</v>
      </c>
      <c r="C69" s="58" t="s">
        <v>174</v>
      </c>
      <c r="D69" s="59" t="s">
        <v>199</v>
      </c>
      <c r="E69" s="59" t="s">
        <v>6</v>
      </c>
      <c r="F69" s="59" t="s">
        <v>200</v>
      </c>
      <c r="G69" s="56"/>
      <c r="H69" s="56">
        <v>12</v>
      </c>
      <c r="I69" s="56"/>
      <c r="J69" s="56"/>
      <c r="K69" s="59"/>
      <c r="L69" s="56"/>
      <c r="M69" s="56"/>
      <c r="N69" s="56"/>
      <c r="O69" s="56" t="s">
        <v>9</v>
      </c>
      <c r="P69" s="56" t="s">
        <v>9</v>
      </c>
      <c r="Q69" s="56" t="s">
        <v>9</v>
      </c>
      <c r="R69" s="56" t="s">
        <v>9</v>
      </c>
      <c r="S69" s="56" t="s">
        <v>9</v>
      </c>
      <c r="T69" s="56" t="s">
        <v>9</v>
      </c>
      <c r="U69" s="56" t="s">
        <v>9</v>
      </c>
      <c r="V69" s="56" t="s">
        <v>9</v>
      </c>
      <c r="W69" s="56" t="s">
        <v>9</v>
      </c>
    </row>
    <row r="70" spans="1:23" ht="16.5" customHeight="1">
      <c r="A70" s="56" t="s">
        <v>286</v>
      </c>
      <c r="B70" s="57" t="s">
        <v>248</v>
      </c>
      <c r="C70" s="58" t="s">
        <v>174</v>
      </c>
      <c r="D70" s="59" t="s">
        <v>199</v>
      </c>
      <c r="E70" s="59" t="s">
        <v>6</v>
      </c>
      <c r="F70" s="59" t="s">
        <v>214</v>
      </c>
      <c r="G70" s="56"/>
      <c r="H70" s="56">
        <v>12</v>
      </c>
      <c r="I70" s="56"/>
      <c r="J70" s="56"/>
      <c r="K70" s="59"/>
      <c r="L70" s="56"/>
      <c r="M70" s="56"/>
      <c r="N70" s="56"/>
      <c r="O70" s="56" t="s">
        <v>9</v>
      </c>
      <c r="P70" s="56" t="s">
        <v>9</v>
      </c>
      <c r="Q70" s="56" t="s">
        <v>9</v>
      </c>
      <c r="R70" s="56" t="s">
        <v>9</v>
      </c>
      <c r="S70" s="56" t="s">
        <v>9</v>
      </c>
      <c r="T70" s="56" t="s">
        <v>9</v>
      </c>
      <c r="U70" s="56" t="s">
        <v>9</v>
      </c>
      <c r="V70" s="56" t="s">
        <v>9</v>
      </c>
      <c r="W70" s="56" t="s">
        <v>9</v>
      </c>
    </row>
    <row r="71" spans="1:23" ht="16.5" customHeight="1">
      <c r="A71" s="56">
        <v>44</v>
      </c>
      <c r="B71" s="57" t="s">
        <v>248</v>
      </c>
      <c r="C71" s="58" t="s">
        <v>174</v>
      </c>
      <c r="D71" s="59" t="s">
        <v>147</v>
      </c>
      <c r="E71" s="59" t="s">
        <v>6</v>
      </c>
      <c r="F71" s="59" t="s">
        <v>148</v>
      </c>
      <c r="G71" s="56"/>
      <c r="H71" s="56">
        <v>12</v>
      </c>
      <c r="I71" s="56"/>
      <c r="J71" s="56"/>
      <c r="K71" s="59"/>
      <c r="L71" s="56"/>
      <c r="M71" s="56"/>
      <c r="N71" s="56"/>
      <c r="O71" s="56" t="s">
        <v>9</v>
      </c>
      <c r="P71" s="56" t="s">
        <v>9</v>
      </c>
      <c r="Q71" s="56" t="s">
        <v>9</v>
      </c>
      <c r="R71" s="56" t="s">
        <v>9</v>
      </c>
      <c r="S71" s="56" t="s">
        <v>9</v>
      </c>
      <c r="T71" s="56" t="s">
        <v>9</v>
      </c>
      <c r="U71" s="56" t="s">
        <v>9</v>
      </c>
      <c r="V71" s="56" t="s">
        <v>9</v>
      </c>
      <c r="W71" s="56" t="s">
        <v>9</v>
      </c>
    </row>
    <row r="72" spans="1:23" ht="16.5" customHeight="1">
      <c r="A72" s="56">
        <v>45</v>
      </c>
      <c r="B72" s="57" t="s">
        <v>248</v>
      </c>
      <c r="C72" s="58" t="s">
        <v>174</v>
      </c>
      <c r="D72" s="59" t="s">
        <v>147</v>
      </c>
      <c r="E72" s="59" t="s">
        <v>6</v>
      </c>
      <c r="F72" s="59" t="s">
        <v>207</v>
      </c>
      <c r="G72" s="56"/>
      <c r="H72" s="56">
        <v>12</v>
      </c>
      <c r="I72" s="56"/>
      <c r="J72" s="56"/>
      <c r="K72" s="59"/>
      <c r="L72" s="56"/>
      <c r="M72" s="56"/>
      <c r="N72" s="56"/>
      <c r="O72" s="56" t="s">
        <v>9</v>
      </c>
      <c r="P72" s="56" t="s">
        <v>9</v>
      </c>
      <c r="Q72" s="56" t="s">
        <v>9</v>
      </c>
      <c r="R72" s="56" t="s">
        <v>9</v>
      </c>
      <c r="S72" s="56" t="s">
        <v>9</v>
      </c>
      <c r="T72" s="56" t="s">
        <v>9</v>
      </c>
      <c r="U72" s="56" t="s">
        <v>9</v>
      </c>
      <c r="V72" s="56" t="s">
        <v>9</v>
      </c>
      <c r="W72" s="56" t="s">
        <v>9</v>
      </c>
    </row>
    <row r="73" spans="1:23" ht="16.5" customHeight="1">
      <c r="A73" s="56">
        <v>46</v>
      </c>
      <c r="B73" s="57" t="s">
        <v>248</v>
      </c>
      <c r="C73" s="58" t="s">
        <v>174</v>
      </c>
      <c r="D73" s="59" t="s">
        <v>147</v>
      </c>
      <c r="E73" s="59" t="s">
        <v>6</v>
      </c>
      <c r="F73" s="59" t="s">
        <v>201</v>
      </c>
      <c r="G73" s="56"/>
      <c r="H73" s="56">
        <v>12</v>
      </c>
      <c r="I73" s="56"/>
      <c r="J73" s="56"/>
      <c r="K73" s="59"/>
      <c r="L73" s="56"/>
      <c r="M73" s="56"/>
      <c r="N73" s="56"/>
      <c r="O73" s="56"/>
      <c r="P73" s="56"/>
      <c r="Q73" s="56" t="s">
        <v>9</v>
      </c>
      <c r="R73" s="56"/>
      <c r="S73" s="56"/>
      <c r="T73" s="56" t="s">
        <v>9</v>
      </c>
      <c r="U73" s="56"/>
      <c r="V73" s="56"/>
      <c r="W73" s="56" t="s">
        <v>9</v>
      </c>
    </row>
    <row r="74" spans="1:23" ht="16.5" customHeight="1">
      <c r="A74" s="56">
        <v>47</v>
      </c>
      <c r="B74" s="57" t="s">
        <v>248</v>
      </c>
      <c r="C74" s="58" t="s">
        <v>174</v>
      </c>
      <c r="D74" s="59" t="s">
        <v>147</v>
      </c>
      <c r="E74" s="59" t="s">
        <v>6</v>
      </c>
      <c r="F74" s="59" t="s">
        <v>202</v>
      </c>
      <c r="G74" s="56"/>
      <c r="H74" s="56">
        <v>12</v>
      </c>
      <c r="I74" s="56"/>
      <c r="J74" s="56"/>
      <c r="K74" s="59"/>
      <c r="L74" s="56"/>
      <c r="M74" s="56"/>
      <c r="N74" s="56"/>
      <c r="O74" s="56"/>
      <c r="P74" s="56"/>
      <c r="Q74" s="56" t="s">
        <v>9</v>
      </c>
      <c r="R74" s="56"/>
      <c r="S74" s="56"/>
      <c r="T74" s="56" t="s">
        <v>9</v>
      </c>
      <c r="U74" s="56"/>
      <c r="V74" s="56"/>
      <c r="W74" s="56" t="s">
        <v>9</v>
      </c>
    </row>
    <row r="75" spans="1:23" ht="16.5" customHeight="1">
      <c r="A75" s="56">
        <v>48</v>
      </c>
      <c r="B75" s="57" t="s">
        <v>248</v>
      </c>
      <c r="C75" s="58" t="s">
        <v>174</v>
      </c>
      <c r="D75" s="59" t="s">
        <v>147</v>
      </c>
      <c r="E75" s="59" t="s">
        <v>6</v>
      </c>
      <c r="F75" s="59" t="s">
        <v>138</v>
      </c>
      <c r="G75" s="56"/>
      <c r="H75" s="56">
        <v>6</v>
      </c>
      <c r="I75" s="56"/>
      <c r="J75" s="56"/>
      <c r="K75" s="59"/>
      <c r="L75" s="56"/>
      <c r="M75" s="56"/>
      <c r="N75" s="56"/>
      <c r="O75" s="56"/>
      <c r="P75" s="56"/>
      <c r="Q75" s="56" t="s">
        <v>9</v>
      </c>
      <c r="R75" s="56"/>
      <c r="S75" s="56"/>
      <c r="T75" s="56"/>
      <c r="U75" s="56"/>
      <c r="V75" s="56"/>
      <c r="W75" s="56" t="s">
        <v>9</v>
      </c>
    </row>
    <row r="76" spans="1:23" ht="16.5" customHeight="1">
      <c r="A76" s="56">
        <v>49</v>
      </c>
      <c r="B76" s="57" t="s">
        <v>248</v>
      </c>
      <c r="C76" s="58" t="s">
        <v>174</v>
      </c>
      <c r="D76" s="59" t="s">
        <v>203</v>
      </c>
      <c r="E76" s="59" t="s">
        <v>6</v>
      </c>
      <c r="F76" s="59" t="s">
        <v>206</v>
      </c>
      <c r="G76" s="56"/>
      <c r="H76" s="56">
        <v>12</v>
      </c>
      <c r="I76" s="56"/>
      <c r="J76" s="56"/>
      <c r="K76" s="59"/>
      <c r="L76" s="56"/>
      <c r="M76" s="56"/>
      <c r="N76" s="56"/>
      <c r="O76" s="56" t="s">
        <v>9</v>
      </c>
      <c r="P76" s="56" t="s">
        <v>9</v>
      </c>
      <c r="Q76" s="56" t="s">
        <v>9</v>
      </c>
      <c r="R76" s="56" t="s">
        <v>9</v>
      </c>
      <c r="S76" s="56" t="s">
        <v>9</v>
      </c>
      <c r="T76" s="56" t="s">
        <v>9</v>
      </c>
      <c r="U76" s="56" t="s">
        <v>9</v>
      </c>
      <c r="V76" s="56" t="s">
        <v>9</v>
      </c>
      <c r="W76" s="56" t="s">
        <v>9</v>
      </c>
    </row>
    <row r="77" spans="1:23" ht="16.5" customHeight="1">
      <c r="A77" s="56">
        <v>50</v>
      </c>
      <c r="B77" s="57" t="s">
        <v>248</v>
      </c>
      <c r="C77" s="58" t="s">
        <v>174</v>
      </c>
      <c r="D77" s="59" t="s">
        <v>203</v>
      </c>
      <c r="E77" s="59" t="s">
        <v>6</v>
      </c>
      <c r="F77" s="59" t="s">
        <v>122</v>
      </c>
      <c r="G77" s="56"/>
      <c r="H77" s="56">
        <v>12</v>
      </c>
      <c r="I77" s="56"/>
      <c r="J77" s="56"/>
      <c r="K77" s="59"/>
      <c r="L77" s="56"/>
      <c r="M77" s="56"/>
      <c r="N77" s="56"/>
      <c r="O77" s="56" t="s">
        <v>9</v>
      </c>
      <c r="P77" s="56" t="s">
        <v>9</v>
      </c>
      <c r="Q77" s="56" t="s">
        <v>9</v>
      </c>
      <c r="R77" s="56" t="s">
        <v>9</v>
      </c>
      <c r="S77" s="56" t="s">
        <v>9</v>
      </c>
      <c r="T77" s="56" t="s">
        <v>9</v>
      </c>
      <c r="U77" s="56" t="s">
        <v>9</v>
      </c>
      <c r="V77" s="56" t="s">
        <v>9</v>
      </c>
      <c r="W77" s="56" t="s">
        <v>9</v>
      </c>
    </row>
    <row r="78" spans="1:23" ht="16.5" customHeight="1">
      <c r="A78" s="56">
        <v>51</v>
      </c>
      <c r="B78" s="57" t="s">
        <v>248</v>
      </c>
      <c r="C78" s="58" t="s">
        <v>174</v>
      </c>
      <c r="D78" s="59" t="s">
        <v>203</v>
      </c>
      <c r="E78" s="59" t="s">
        <v>6</v>
      </c>
      <c r="F78" s="59" t="s">
        <v>204</v>
      </c>
      <c r="G78" s="56"/>
      <c r="H78" s="56">
        <v>12</v>
      </c>
      <c r="I78" s="56"/>
      <c r="J78" s="56"/>
      <c r="K78" s="59"/>
      <c r="L78" s="56"/>
      <c r="M78" s="56"/>
      <c r="N78" s="56"/>
      <c r="O78" s="56" t="s">
        <v>9</v>
      </c>
      <c r="P78" s="56" t="s">
        <v>9</v>
      </c>
      <c r="Q78" s="56" t="s">
        <v>9</v>
      </c>
      <c r="R78" s="56" t="s">
        <v>9</v>
      </c>
      <c r="S78" s="56" t="s">
        <v>9</v>
      </c>
      <c r="T78" s="56" t="s">
        <v>9</v>
      </c>
      <c r="U78" s="56" t="s">
        <v>9</v>
      </c>
      <c r="V78" s="56" t="s">
        <v>9</v>
      </c>
      <c r="W78" s="56" t="s">
        <v>9</v>
      </c>
    </row>
    <row r="79" spans="1:23" ht="16.5" customHeight="1">
      <c r="A79" s="56">
        <v>52</v>
      </c>
      <c r="B79" s="57" t="s">
        <v>248</v>
      </c>
      <c r="C79" s="58" t="s">
        <v>174</v>
      </c>
      <c r="D79" s="59" t="s">
        <v>203</v>
      </c>
      <c r="E79" s="59" t="s">
        <v>6</v>
      </c>
      <c r="F79" s="59" t="s">
        <v>205</v>
      </c>
      <c r="G79" s="56"/>
      <c r="H79" s="56">
        <v>12</v>
      </c>
      <c r="I79" s="56"/>
      <c r="J79" s="56"/>
      <c r="K79" s="59"/>
      <c r="L79" s="56"/>
      <c r="M79" s="56"/>
      <c r="N79" s="56"/>
      <c r="O79" s="56" t="s">
        <v>9</v>
      </c>
      <c r="P79" s="56" t="s">
        <v>9</v>
      </c>
      <c r="Q79" s="56" t="s">
        <v>9</v>
      </c>
      <c r="R79" s="56" t="s">
        <v>9</v>
      </c>
      <c r="S79" s="56" t="s">
        <v>9</v>
      </c>
      <c r="T79" s="56" t="s">
        <v>9</v>
      </c>
      <c r="U79" s="56" t="s">
        <v>9</v>
      </c>
      <c r="V79" s="56" t="s">
        <v>9</v>
      </c>
      <c r="W79" s="56" t="s">
        <v>9</v>
      </c>
    </row>
    <row r="80" spans="1:23" ht="16.5">
      <c r="A80" s="56">
        <v>1</v>
      </c>
      <c r="B80" s="57" t="s">
        <v>268</v>
      </c>
      <c r="C80" s="62"/>
      <c r="D80" s="56"/>
      <c r="E80" s="56"/>
      <c r="F80" s="63" t="s">
        <v>249</v>
      </c>
      <c r="G80" s="56"/>
      <c r="H80" s="64">
        <v>1</v>
      </c>
      <c r="I80" s="64"/>
      <c r="J80" s="64"/>
      <c r="K80" s="59"/>
      <c r="L80" s="56" t="s">
        <v>9</v>
      </c>
      <c r="M80" s="56" t="s">
        <v>9</v>
      </c>
      <c r="N80" s="56" t="s">
        <v>9</v>
      </c>
      <c r="O80" s="56" t="s">
        <v>9</v>
      </c>
      <c r="P80" s="56" t="s">
        <v>9</v>
      </c>
      <c r="Q80" s="56" t="s">
        <v>9</v>
      </c>
      <c r="R80" s="56" t="s">
        <v>9</v>
      </c>
      <c r="S80" s="56" t="s">
        <v>9</v>
      </c>
      <c r="T80" s="56" t="s">
        <v>9</v>
      </c>
      <c r="U80" s="56" t="s">
        <v>9</v>
      </c>
      <c r="V80" s="56" t="s">
        <v>9</v>
      </c>
      <c r="W80" s="56" t="s">
        <v>9</v>
      </c>
    </row>
    <row r="81" spans="1:23" ht="16.5">
      <c r="A81" s="56">
        <v>2</v>
      </c>
      <c r="B81" s="57" t="s">
        <v>268</v>
      </c>
      <c r="C81" s="62"/>
      <c r="D81" s="56"/>
      <c r="E81" s="56"/>
      <c r="F81" s="63" t="s">
        <v>250</v>
      </c>
      <c r="G81" s="56"/>
      <c r="H81" s="64">
        <v>1</v>
      </c>
      <c r="I81" s="64"/>
      <c r="J81" s="64"/>
      <c r="K81" s="59"/>
      <c r="L81" s="56" t="s">
        <v>9</v>
      </c>
      <c r="M81" s="56" t="s">
        <v>9</v>
      </c>
      <c r="N81" s="56" t="s">
        <v>9</v>
      </c>
      <c r="O81" s="56" t="s">
        <v>9</v>
      </c>
      <c r="P81" s="56" t="s">
        <v>9</v>
      </c>
      <c r="Q81" s="56" t="s">
        <v>9</v>
      </c>
      <c r="R81" s="56" t="s">
        <v>9</v>
      </c>
      <c r="S81" s="56" t="s">
        <v>9</v>
      </c>
      <c r="T81" s="56" t="s">
        <v>9</v>
      </c>
      <c r="U81" s="56" t="s">
        <v>9</v>
      </c>
      <c r="V81" s="56" t="s">
        <v>9</v>
      </c>
      <c r="W81" s="56" t="s">
        <v>9</v>
      </c>
    </row>
    <row r="82" spans="1:23" ht="16.5">
      <c r="A82" s="56">
        <v>3</v>
      </c>
      <c r="B82" s="57" t="s">
        <v>268</v>
      </c>
      <c r="C82" s="62"/>
      <c r="D82" s="56"/>
      <c r="E82" s="56"/>
      <c r="F82" s="63" t="s">
        <v>251</v>
      </c>
      <c r="G82" s="56"/>
      <c r="H82" s="64">
        <v>1</v>
      </c>
      <c r="I82" s="64"/>
      <c r="J82" s="64"/>
      <c r="K82" s="59"/>
      <c r="L82" s="56" t="s">
        <v>9</v>
      </c>
      <c r="M82" s="56" t="s">
        <v>9</v>
      </c>
      <c r="N82" s="56" t="s">
        <v>9</v>
      </c>
      <c r="O82" s="56" t="s">
        <v>9</v>
      </c>
      <c r="P82" s="56" t="s">
        <v>9</v>
      </c>
      <c r="Q82" s="56" t="s">
        <v>9</v>
      </c>
      <c r="R82" s="56" t="s">
        <v>9</v>
      </c>
      <c r="S82" s="56" t="s">
        <v>9</v>
      </c>
      <c r="T82" s="56" t="s">
        <v>9</v>
      </c>
      <c r="U82" s="56" t="s">
        <v>9</v>
      </c>
      <c r="V82" s="56" t="s">
        <v>9</v>
      </c>
      <c r="W82" s="56" t="s">
        <v>9</v>
      </c>
    </row>
    <row r="83" spans="1:23" ht="16.5">
      <c r="A83" s="56">
        <v>4</v>
      </c>
      <c r="B83" s="57" t="s">
        <v>268</v>
      </c>
      <c r="C83" s="62"/>
      <c r="D83" s="56"/>
      <c r="E83" s="56"/>
      <c r="F83" s="63" t="s">
        <v>252</v>
      </c>
      <c r="G83" s="56"/>
      <c r="H83" s="64">
        <v>1</v>
      </c>
      <c r="I83" s="64"/>
      <c r="J83" s="64"/>
      <c r="K83" s="59"/>
      <c r="L83" s="56" t="s">
        <v>9</v>
      </c>
      <c r="M83" s="56" t="s">
        <v>9</v>
      </c>
      <c r="N83" s="56" t="s">
        <v>9</v>
      </c>
      <c r="O83" s="56" t="s">
        <v>9</v>
      </c>
      <c r="P83" s="56" t="s">
        <v>9</v>
      </c>
      <c r="Q83" s="56" t="s">
        <v>9</v>
      </c>
      <c r="R83" s="56" t="s">
        <v>9</v>
      </c>
      <c r="S83" s="56" t="s">
        <v>9</v>
      </c>
      <c r="T83" s="56" t="s">
        <v>9</v>
      </c>
      <c r="U83" s="56" t="s">
        <v>9</v>
      </c>
      <c r="V83" s="56" t="s">
        <v>9</v>
      </c>
      <c r="W83" s="56" t="s">
        <v>9</v>
      </c>
    </row>
    <row r="84" spans="1:23" ht="16.5">
      <c r="A84" s="56">
        <v>5</v>
      </c>
      <c r="B84" s="57" t="s">
        <v>268</v>
      </c>
      <c r="C84" s="62"/>
      <c r="D84" s="56"/>
      <c r="E84" s="56"/>
      <c r="F84" s="63" t="s">
        <v>253</v>
      </c>
      <c r="G84" s="64"/>
      <c r="H84" s="56">
        <v>12</v>
      </c>
      <c r="I84" s="56"/>
      <c r="J84" s="56"/>
      <c r="K84" s="56"/>
      <c r="L84" s="56"/>
      <c r="M84" s="56"/>
      <c r="N84" s="56"/>
      <c r="O84" s="56"/>
      <c r="P84" s="56"/>
      <c r="Q84" s="56" t="s">
        <v>9</v>
      </c>
      <c r="R84" s="56"/>
      <c r="S84" s="56"/>
      <c r="T84" s="56"/>
      <c r="U84" s="56"/>
      <c r="V84" s="56"/>
      <c r="W84" s="59"/>
    </row>
    <row r="85" spans="1:23" ht="16.5">
      <c r="A85" s="56">
        <v>6</v>
      </c>
      <c r="B85" s="57" t="s">
        <v>268</v>
      </c>
      <c r="C85" s="62"/>
      <c r="D85" s="56"/>
      <c r="E85" s="56"/>
      <c r="F85" s="63" t="s">
        <v>254</v>
      </c>
      <c r="G85" s="59"/>
      <c r="H85" s="56">
        <v>6</v>
      </c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</row>
    <row r="86" spans="1:23" ht="16.5">
      <c r="A86" s="56">
        <v>7</v>
      </c>
      <c r="B86" s="57" t="s">
        <v>268</v>
      </c>
      <c r="C86" s="62"/>
      <c r="D86" s="56"/>
      <c r="E86" s="56"/>
      <c r="F86" s="63" t="s">
        <v>255</v>
      </c>
      <c r="G86" s="56"/>
      <c r="H86" s="56">
        <v>12</v>
      </c>
      <c r="I86" s="56"/>
      <c r="J86" s="56"/>
      <c r="K86" s="56"/>
      <c r="L86" s="56"/>
      <c r="M86" s="56"/>
      <c r="N86" s="56"/>
      <c r="O86" s="56"/>
      <c r="P86" s="56"/>
      <c r="Q86" s="56" t="s">
        <v>9</v>
      </c>
      <c r="R86" s="56"/>
      <c r="S86" s="56"/>
      <c r="T86" s="56"/>
      <c r="U86" s="56"/>
      <c r="V86" s="56"/>
      <c r="W86" s="56"/>
    </row>
    <row r="87" spans="1:23" ht="16.5">
      <c r="A87" s="56">
        <v>8</v>
      </c>
      <c r="B87" s="57" t="s">
        <v>268</v>
      </c>
      <c r="C87" s="62"/>
      <c r="D87" s="56"/>
      <c r="E87" s="56"/>
      <c r="F87" s="63" t="s">
        <v>256</v>
      </c>
      <c r="G87" s="56"/>
      <c r="H87" s="56">
        <v>12</v>
      </c>
      <c r="I87" s="56"/>
      <c r="J87" s="56"/>
      <c r="K87" s="56"/>
      <c r="L87" s="56"/>
      <c r="M87" s="56"/>
      <c r="N87" s="56"/>
      <c r="O87" s="56"/>
      <c r="P87" s="56"/>
      <c r="Q87" s="56" t="s">
        <v>9</v>
      </c>
      <c r="R87" s="56"/>
      <c r="S87" s="56"/>
      <c r="T87" s="56"/>
      <c r="U87" s="56"/>
      <c r="V87" s="56"/>
      <c r="W87" s="56"/>
    </row>
    <row r="88" spans="1:23" ht="16.5">
      <c r="A88" s="56">
        <v>9</v>
      </c>
      <c r="B88" s="57" t="s">
        <v>268</v>
      </c>
      <c r="C88" s="62"/>
      <c r="D88" s="56"/>
      <c r="E88" s="56"/>
      <c r="F88" s="63" t="s">
        <v>257</v>
      </c>
      <c r="G88" s="19"/>
      <c r="H88" s="64">
        <v>12</v>
      </c>
      <c r="I88" s="64"/>
      <c r="J88" s="64"/>
      <c r="K88" s="59"/>
      <c r="L88" s="56"/>
      <c r="M88" s="56"/>
      <c r="N88" s="56"/>
      <c r="O88" s="56"/>
      <c r="P88" s="56"/>
      <c r="Q88" s="56" t="s">
        <v>9</v>
      </c>
      <c r="R88" s="56"/>
      <c r="S88" s="56"/>
      <c r="T88" s="56"/>
      <c r="U88" s="56"/>
      <c r="V88" s="56"/>
      <c r="W88" s="56"/>
    </row>
    <row r="89" spans="1:23" ht="16.5">
      <c r="A89" s="56">
        <v>10</v>
      </c>
      <c r="B89" s="57" t="s">
        <v>268</v>
      </c>
      <c r="C89" s="62"/>
      <c r="D89" s="56"/>
      <c r="E89" s="56"/>
      <c r="F89" s="63" t="s">
        <v>258</v>
      </c>
      <c r="G89" s="19"/>
      <c r="H89" s="64">
        <v>12</v>
      </c>
      <c r="I89" s="64"/>
      <c r="J89" s="64"/>
      <c r="K89" s="59"/>
      <c r="L89" s="56"/>
      <c r="M89" s="56"/>
      <c r="N89" s="56"/>
      <c r="O89" s="56"/>
      <c r="P89" s="56"/>
      <c r="Q89" s="56" t="s">
        <v>9</v>
      </c>
      <c r="R89" s="56"/>
      <c r="S89" s="56"/>
      <c r="T89" s="56"/>
      <c r="U89" s="56"/>
      <c r="V89" s="56"/>
      <c r="W89" s="56"/>
    </row>
    <row r="90" spans="1:23" ht="16.5">
      <c r="A90" s="56">
        <v>11</v>
      </c>
      <c r="B90" s="57" t="s">
        <v>268</v>
      </c>
      <c r="C90" s="62"/>
      <c r="D90" s="56"/>
      <c r="E90" s="56"/>
      <c r="F90" s="63" t="s">
        <v>259</v>
      </c>
      <c r="G90" s="19"/>
      <c r="H90" s="64">
        <v>12</v>
      </c>
      <c r="I90" s="64"/>
      <c r="J90" s="64"/>
      <c r="K90" s="59"/>
      <c r="L90" s="65"/>
      <c r="M90" s="59"/>
      <c r="N90" s="59"/>
      <c r="O90" s="59"/>
      <c r="P90" s="59"/>
      <c r="Q90" s="56" t="s">
        <v>9</v>
      </c>
      <c r="R90" s="56"/>
      <c r="S90" s="59"/>
      <c r="T90" s="59"/>
      <c r="U90" s="59"/>
      <c r="V90" s="59"/>
      <c r="W90" s="56"/>
    </row>
    <row r="91" spans="1:23" ht="16.5">
      <c r="A91" s="56">
        <v>12</v>
      </c>
      <c r="B91" s="57" t="s">
        <v>268</v>
      </c>
      <c r="C91" s="62"/>
      <c r="D91" s="56"/>
      <c r="E91" s="56"/>
      <c r="F91" s="63" t="s">
        <v>260</v>
      </c>
      <c r="G91" s="19"/>
      <c r="H91" s="64">
        <v>12</v>
      </c>
      <c r="I91" s="64"/>
      <c r="J91" s="64"/>
      <c r="K91" s="59"/>
      <c r="L91" s="56"/>
      <c r="M91" s="56"/>
      <c r="N91" s="56"/>
      <c r="O91" s="56"/>
      <c r="P91" s="56"/>
      <c r="Q91" s="56" t="s">
        <v>9</v>
      </c>
      <c r="R91" s="56"/>
      <c r="S91" s="56"/>
      <c r="T91" s="56"/>
      <c r="U91" s="56"/>
      <c r="V91" s="56"/>
      <c r="W91" s="56"/>
    </row>
    <row r="92" spans="1:23" ht="16.5">
      <c r="A92" s="56">
        <v>13</v>
      </c>
      <c r="B92" s="57" t="s">
        <v>268</v>
      </c>
      <c r="C92" s="62"/>
      <c r="D92" s="56"/>
      <c r="E92" s="56"/>
      <c r="F92" s="63" t="s">
        <v>261</v>
      </c>
      <c r="G92" s="19"/>
      <c r="H92" s="64">
        <v>3</v>
      </c>
      <c r="I92" s="64"/>
      <c r="J92" s="64"/>
      <c r="K92" s="59"/>
      <c r="L92" s="59"/>
      <c r="M92" s="59"/>
      <c r="N92" s="56" t="s">
        <v>9</v>
      </c>
      <c r="O92" s="59"/>
      <c r="P92" s="59"/>
      <c r="Q92" s="56" t="s">
        <v>9</v>
      </c>
      <c r="R92" s="59"/>
      <c r="S92" s="59"/>
      <c r="T92" s="56" t="s">
        <v>9</v>
      </c>
      <c r="U92" s="59"/>
      <c r="V92" s="59"/>
      <c r="W92" s="56" t="s">
        <v>9</v>
      </c>
    </row>
    <row r="93" spans="1:23" ht="16.5">
      <c r="A93" s="56">
        <v>14</v>
      </c>
      <c r="B93" s="57" t="s">
        <v>268</v>
      </c>
      <c r="C93" s="62"/>
      <c r="D93" s="56"/>
      <c r="E93" s="56"/>
      <c r="F93" s="63" t="s">
        <v>262</v>
      </c>
      <c r="G93" s="19"/>
      <c r="H93" s="64">
        <v>12</v>
      </c>
      <c r="I93" s="64"/>
      <c r="J93" s="64"/>
      <c r="K93" s="59"/>
      <c r="L93" s="56"/>
      <c r="M93" s="56"/>
      <c r="N93" s="56"/>
      <c r="O93" s="56"/>
      <c r="P93" s="56"/>
      <c r="Q93" s="56" t="s">
        <v>9</v>
      </c>
      <c r="R93" s="56"/>
      <c r="S93" s="56"/>
      <c r="T93" s="56"/>
      <c r="U93" s="56"/>
      <c r="V93" s="56"/>
      <c r="W93" s="56"/>
    </row>
    <row r="94" spans="1:23" ht="16.5">
      <c r="A94" s="56">
        <v>15</v>
      </c>
      <c r="B94" s="57" t="s">
        <v>268</v>
      </c>
      <c r="C94" s="62"/>
      <c r="D94" s="56"/>
      <c r="E94" s="56"/>
      <c r="F94" s="63" t="s">
        <v>263</v>
      </c>
      <c r="G94" s="19"/>
      <c r="H94" s="64">
        <v>12</v>
      </c>
      <c r="I94" s="64"/>
      <c r="J94" s="64"/>
      <c r="K94" s="59"/>
      <c r="L94" s="66"/>
      <c r="M94" s="59"/>
      <c r="N94" s="59"/>
      <c r="O94" s="59"/>
      <c r="P94" s="59"/>
      <c r="Q94" s="56" t="s">
        <v>9</v>
      </c>
      <c r="R94" s="59"/>
      <c r="S94" s="59"/>
      <c r="T94" s="56"/>
      <c r="U94" s="59"/>
      <c r="V94" s="59"/>
      <c r="W94" s="56"/>
    </row>
    <row r="95" spans="1:23" ht="16.5">
      <c r="A95" s="56">
        <v>16</v>
      </c>
      <c r="B95" s="57" t="s">
        <v>268</v>
      </c>
      <c r="C95" s="62"/>
      <c r="D95" s="56"/>
      <c r="E95" s="56"/>
      <c r="F95" s="63" t="s">
        <v>264</v>
      </c>
      <c r="G95" s="19"/>
      <c r="H95" s="64">
        <v>6</v>
      </c>
      <c r="I95" s="64"/>
      <c r="J95" s="64"/>
      <c r="K95" s="59"/>
      <c r="L95" s="56"/>
      <c r="M95" s="56"/>
      <c r="N95" s="56" t="s">
        <v>9</v>
      </c>
      <c r="O95" s="56"/>
      <c r="P95" s="56"/>
      <c r="Q95" s="56"/>
      <c r="R95" s="56"/>
      <c r="S95" s="56"/>
      <c r="T95" s="56" t="s">
        <v>9</v>
      </c>
      <c r="U95" s="56"/>
      <c r="V95" s="56"/>
      <c r="W95" s="56"/>
    </row>
    <row r="96" spans="1:23" ht="16.5">
      <c r="A96" s="56">
        <v>17</v>
      </c>
      <c r="B96" s="57" t="s">
        <v>268</v>
      </c>
      <c r="C96" s="62"/>
      <c r="D96" s="56"/>
      <c r="E96" s="56"/>
      <c r="F96" s="67" t="s">
        <v>265</v>
      </c>
      <c r="G96" s="19"/>
      <c r="H96" s="64">
        <v>6</v>
      </c>
      <c r="I96" s="64"/>
      <c r="J96" s="64"/>
      <c r="K96" s="59"/>
      <c r="L96" s="59"/>
      <c r="M96" s="59"/>
      <c r="N96" s="56" t="s">
        <v>9</v>
      </c>
      <c r="O96" s="59"/>
      <c r="P96" s="59"/>
      <c r="Q96" s="56"/>
      <c r="R96" s="59"/>
      <c r="S96" s="59"/>
      <c r="T96" s="56" t="s">
        <v>9</v>
      </c>
      <c r="U96" s="59"/>
      <c r="V96" s="59"/>
      <c r="W96" s="56"/>
    </row>
    <row r="97" spans="1:23" ht="16.5">
      <c r="A97" s="56">
        <v>18</v>
      </c>
      <c r="B97" s="57" t="s">
        <v>268</v>
      </c>
      <c r="C97" s="62"/>
      <c r="D97" s="56"/>
      <c r="E97" s="56"/>
      <c r="F97" s="63" t="s">
        <v>266</v>
      </c>
      <c r="G97" s="19"/>
      <c r="H97" s="64">
        <v>6</v>
      </c>
      <c r="I97" s="64"/>
      <c r="J97" s="64"/>
      <c r="K97" s="59"/>
      <c r="L97" s="56"/>
      <c r="M97" s="56"/>
      <c r="N97" s="56" t="s">
        <v>9</v>
      </c>
      <c r="O97" s="56"/>
      <c r="P97" s="56"/>
      <c r="Q97" s="56"/>
      <c r="R97" s="56"/>
      <c r="S97" s="56"/>
      <c r="T97" s="56" t="s">
        <v>9</v>
      </c>
      <c r="U97" s="56"/>
      <c r="V97" s="56"/>
      <c r="W97" s="56"/>
    </row>
    <row r="98" spans="1:23" ht="16.5">
      <c r="A98" s="56">
        <v>19</v>
      </c>
      <c r="B98" s="57" t="s">
        <v>268</v>
      </c>
      <c r="C98" s="62"/>
      <c r="D98" s="56"/>
      <c r="E98" s="56"/>
      <c r="F98" s="67" t="s">
        <v>267</v>
      </c>
      <c r="G98" s="19"/>
      <c r="H98" s="64">
        <v>6</v>
      </c>
      <c r="I98" s="64"/>
      <c r="J98" s="64"/>
      <c r="K98" s="59"/>
      <c r="L98" s="59"/>
      <c r="M98" s="59"/>
      <c r="N98" s="56" t="s">
        <v>9</v>
      </c>
      <c r="O98" s="59"/>
      <c r="P98" s="59"/>
      <c r="Q98" s="56"/>
      <c r="R98" s="59"/>
      <c r="S98" s="59"/>
      <c r="T98" s="56" t="s">
        <v>9</v>
      </c>
      <c r="U98" s="59"/>
      <c r="V98" s="59"/>
      <c r="W98" s="56"/>
    </row>
    <row r="99" spans="1:23" ht="16.5">
      <c r="A99" s="56">
        <v>1</v>
      </c>
      <c r="B99" s="68" t="s">
        <v>272</v>
      </c>
      <c r="C99" s="62"/>
      <c r="D99" s="56"/>
      <c r="E99" s="56"/>
      <c r="F99" s="63" t="s">
        <v>273</v>
      </c>
      <c r="G99" s="19"/>
      <c r="H99" s="64">
        <v>12</v>
      </c>
      <c r="I99" s="64"/>
      <c r="J99" s="64"/>
      <c r="K99" s="59"/>
      <c r="L99" s="56"/>
      <c r="M99" s="56"/>
      <c r="N99" s="56"/>
      <c r="O99" s="56"/>
      <c r="P99" s="56"/>
      <c r="Q99" s="56" t="s">
        <v>9</v>
      </c>
      <c r="R99" s="56"/>
      <c r="S99" s="56"/>
      <c r="T99" s="56"/>
      <c r="U99" s="56"/>
      <c r="V99" s="56"/>
      <c r="W99" s="56"/>
    </row>
    <row r="100" spans="1:23" ht="16.5">
      <c r="A100" s="56">
        <v>2</v>
      </c>
      <c r="B100" s="68" t="s">
        <v>272</v>
      </c>
      <c r="C100" s="62"/>
      <c r="D100" s="56"/>
      <c r="E100" s="56"/>
      <c r="F100" s="63" t="s">
        <v>274</v>
      </c>
      <c r="G100" s="19"/>
      <c r="H100" s="64">
        <v>12</v>
      </c>
      <c r="I100" s="64"/>
      <c r="J100" s="64"/>
      <c r="K100" s="59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 t="s">
        <v>9</v>
      </c>
    </row>
    <row r="101" spans="1:23" ht="16.5">
      <c r="A101" s="56">
        <v>3</v>
      </c>
      <c r="B101" s="68" t="s">
        <v>272</v>
      </c>
      <c r="C101" s="62"/>
      <c r="D101" s="56" t="s">
        <v>278</v>
      </c>
      <c r="E101" s="56"/>
      <c r="F101" s="63" t="s">
        <v>276</v>
      </c>
      <c r="G101" s="19"/>
      <c r="H101" s="64">
        <v>12</v>
      </c>
      <c r="I101" s="64"/>
      <c r="J101" s="64"/>
      <c r="K101" s="59"/>
      <c r="L101" s="56" t="s">
        <v>9</v>
      </c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</row>
    <row r="102" spans="1:23" ht="16.5">
      <c r="A102" s="56">
        <v>4</v>
      </c>
      <c r="B102" s="68" t="s">
        <v>272</v>
      </c>
      <c r="C102" s="62"/>
      <c r="D102" s="56" t="s">
        <v>279</v>
      </c>
      <c r="E102" s="56"/>
      <c r="F102" s="63" t="s">
        <v>277</v>
      </c>
      <c r="G102" s="19"/>
      <c r="H102" s="64">
        <v>12</v>
      </c>
      <c r="I102" s="64"/>
      <c r="J102" s="64"/>
      <c r="K102" s="59"/>
      <c r="L102" s="56"/>
      <c r="M102" s="56"/>
      <c r="N102" s="56"/>
      <c r="O102" s="56"/>
      <c r="P102" s="56" t="s">
        <v>9</v>
      </c>
      <c r="Q102" s="56"/>
      <c r="R102" s="56"/>
      <c r="S102" s="56"/>
      <c r="T102" s="56"/>
      <c r="U102" s="56"/>
      <c r="V102" s="56"/>
      <c r="W102" s="56"/>
    </row>
    <row r="103" spans="1:23" ht="16.5">
      <c r="A103" s="19">
        <v>5</v>
      </c>
      <c r="B103" s="54" t="s">
        <v>272</v>
      </c>
      <c r="C103" s="51"/>
      <c r="D103" s="19" t="s">
        <v>280</v>
      </c>
      <c r="E103" s="19"/>
      <c r="F103" s="52" t="s">
        <v>281</v>
      </c>
      <c r="G103" s="19"/>
      <c r="H103" s="53">
        <v>12</v>
      </c>
      <c r="I103" s="53"/>
      <c r="J103" s="53"/>
      <c r="K103" s="20"/>
      <c r="L103" s="33"/>
      <c r="M103" s="19"/>
      <c r="N103" s="19" t="s">
        <v>9</v>
      </c>
      <c r="O103" s="19"/>
      <c r="P103" s="33"/>
      <c r="Q103" s="19"/>
      <c r="R103" s="19"/>
      <c r="S103" s="19"/>
      <c r="T103" s="19"/>
      <c r="U103" s="19"/>
      <c r="V103" s="19"/>
      <c r="W103" s="19"/>
    </row>
    <row r="104" spans="1:23">
      <c r="B104" s="48"/>
    </row>
  </sheetData>
  <autoFilter ref="C27:C103" xr:uid="{644E71A6-1068-436C-A20B-751BDE108AB4}"/>
  <phoneticPr fontId="11" type="noConversion"/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365A-3721-4E20-89E3-DB64E93FEDFC}">
  <sheetPr codeName="Sheet2"/>
  <dimension ref="A1:R49"/>
  <sheetViews>
    <sheetView zoomScaleNormal="100" workbookViewId="0">
      <selection sqref="A1:R1"/>
    </sheetView>
  </sheetViews>
  <sheetFormatPr defaultColWidth="8.85546875" defaultRowHeight="12.75"/>
  <cols>
    <col min="1" max="1" width="14.7109375" style="2" bestFit="1" customWidth="1"/>
    <col min="2" max="2" width="31.140625" style="1" customWidth="1"/>
    <col min="3" max="18" width="10.28515625" style="1" customWidth="1"/>
    <col min="19" max="16384" width="8.85546875" style="1"/>
  </cols>
  <sheetData>
    <row r="1" spans="1:18" ht="31.9" customHeight="1">
      <c r="A1" s="70" t="s">
        <v>213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18" ht="13.15" customHeight="1">
      <c r="A2" s="13"/>
      <c r="B2" s="14"/>
      <c r="C2" s="71" t="s">
        <v>221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18" ht="13.15" customHeight="1">
      <c r="A3" s="13" t="s">
        <v>47</v>
      </c>
      <c r="B3" s="15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</row>
    <row r="4" spans="1:18" ht="19.899999999999999" customHeight="1">
      <c r="A4" s="73" t="s">
        <v>13</v>
      </c>
      <c r="B4" s="73"/>
      <c r="C4" s="74" t="s">
        <v>217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</row>
    <row r="5" spans="1:18" ht="18" customHeight="1">
      <c r="A5" s="25" t="s">
        <v>3</v>
      </c>
      <c r="B5" s="10" t="s">
        <v>220</v>
      </c>
      <c r="C5" s="39"/>
      <c r="D5" s="39"/>
      <c r="E5" s="39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18" customHeight="1">
      <c r="A6" s="35"/>
      <c r="B6" s="10" t="s">
        <v>27</v>
      </c>
      <c r="C6" s="10">
        <v>3</v>
      </c>
      <c r="D6" s="10">
        <v>3</v>
      </c>
      <c r="E6" s="10">
        <v>3</v>
      </c>
      <c r="F6" s="10">
        <v>3</v>
      </c>
      <c r="G6" s="10">
        <v>3</v>
      </c>
      <c r="H6" s="10">
        <v>3</v>
      </c>
      <c r="I6" s="10">
        <v>3</v>
      </c>
      <c r="J6" s="10">
        <v>3</v>
      </c>
      <c r="K6" s="10">
        <v>3</v>
      </c>
      <c r="L6" s="10">
        <v>3</v>
      </c>
      <c r="M6" s="10">
        <v>3</v>
      </c>
      <c r="N6" s="10">
        <v>3</v>
      </c>
      <c r="O6" s="10">
        <v>3</v>
      </c>
      <c r="P6" s="10">
        <v>3</v>
      </c>
      <c r="Q6" s="10">
        <v>3</v>
      </c>
      <c r="R6" s="10">
        <v>3</v>
      </c>
    </row>
    <row r="7" spans="1:18" ht="18" customHeight="1">
      <c r="A7" s="36"/>
      <c r="B7" s="10" t="s">
        <v>28</v>
      </c>
      <c r="C7" s="10">
        <v>8</v>
      </c>
      <c r="D7" s="10">
        <v>8</v>
      </c>
      <c r="E7" s="10">
        <v>8</v>
      </c>
      <c r="F7" s="10">
        <v>8</v>
      </c>
      <c r="G7" s="10">
        <v>8</v>
      </c>
      <c r="H7" s="10">
        <v>8</v>
      </c>
      <c r="I7" s="10">
        <v>8</v>
      </c>
      <c r="J7" s="10">
        <v>8</v>
      </c>
      <c r="K7" s="10">
        <v>8</v>
      </c>
      <c r="L7" s="10">
        <v>8</v>
      </c>
      <c r="M7" s="10">
        <v>8</v>
      </c>
      <c r="N7" s="10">
        <v>8</v>
      </c>
      <c r="O7" s="10">
        <v>8</v>
      </c>
      <c r="P7" s="10">
        <v>8</v>
      </c>
      <c r="Q7" s="10">
        <v>8</v>
      </c>
      <c r="R7" s="10">
        <v>8</v>
      </c>
    </row>
    <row r="8" spans="1:18" ht="18" customHeight="1">
      <c r="A8" s="75" t="s">
        <v>199</v>
      </c>
      <c r="B8" s="9" t="s">
        <v>216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  <c r="P8" s="38" t="b">
        <v>0</v>
      </c>
      <c r="Q8" s="38" t="b">
        <v>0</v>
      </c>
      <c r="R8" s="38" t="b">
        <v>0</v>
      </c>
    </row>
    <row r="9" spans="1:18" ht="18" customHeight="1">
      <c r="A9" s="76"/>
      <c r="B9" s="9" t="s">
        <v>215</v>
      </c>
      <c r="C9" s="38" t="b">
        <v>0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  <c r="P9" s="38" t="b">
        <v>0</v>
      </c>
      <c r="Q9" s="38" t="b">
        <v>0</v>
      </c>
      <c r="R9" s="38" t="b">
        <v>0</v>
      </c>
    </row>
    <row r="10" spans="1:18" ht="18" customHeight="1">
      <c r="A10" s="77"/>
      <c r="B10" s="9" t="s">
        <v>214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  <c r="P10" s="38" t="b">
        <v>0</v>
      </c>
      <c r="Q10" s="38" t="b">
        <v>0</v>
      </c>
      <c r="R10" s="38" t="b">
        <v>0</v>
      </c>
    </row>
    <row r="11" spans="1:18" ht="18" customHeight="1">
      <c r="A11" s="78" t="s">
        <v>147</v>
      </c>
      <c r="B11" s="26" t="s">
        <v>148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  <c r="P11" s="38" t="b">
        <v>0</v>
      </c>
      <c r="Q11" s="38" t="b">
        <v>0</v>
      </c>
      <c r="R11" s="38" t="b">
        <v>0</v>
      </c>
    </row>
    <row r="12" spans="1:18" ht="18" customHeight="1">
      <c r="A12" s="79"/>
      <c r="B12" s="26" t="s">
        <v>207</v>
      </c>
      <c r="C12" s="38" t="b">
        <v>0</v>
      </c>
      <c r="D12" s="38" t="b">
        <v>0</v>
      </c>
      <c r="E12" s="38" t="b">
        <v>0</v>
      </c>
      <c r="F12" s="38" t="b">
        <v>0</v>
      </c>
      <c r="G12" s="38" t="b">
        <v>0</v>
      </c>
      <c r="H12" s="38" t="b">
        <v>0</v>
      </c>
      <c r="I12" s="38" t="b">
        <v>0</v>
      </c>
      <c r="J12" s="38" t="b">
        <v>0</v>
      </c>
      <c r="K12" s="38" t="b">
        <v>0</v>
      </c>
      <c r="L12" s="38" t="b">
        <v>0</v>
      </c>
      <c r="M12" s="38" t="b">
        <v>0</v>
      </c>
      <c r="N12" s="38" t="b">
        <v>0</v>
      </c>
      <c r="O12" s="38" t="b">
        <v>0</v>
      </c>
      <c r="P12" s="38" t="b">
        <v>0</v>
      </c>
      <c r="Q12" s="38" t="b">
        <v>0</v>
      </c>
      <c r="R12" s="38" t="b">
        <v>0</v>
      </c>
    </row>
    <row r="13" spans="1:18" ht="18" customHeight="1">
      <c r="A13" s="79"/>
      <c r="B13" s="26" t="s">
        <v>218</v>
      </c>
      <c r="C13" s="38" t="b">
        <v>0</v>
      </c>
      <c r="D13" s="38" t="b">
        <v>0</v>
      </c>
      <c r="E13" s="38" t="b">
        <v>0</v>
      </c>
      <c r="F13" s="38" t="b">
        <v>0</v>
      </c>
      <c r="G13" s="38" t="b">
        <v>0</v>
      </c>
      <c r="H13" s="38" t="b">
        <v>0</v>
      </c>
      <c r="I13" s="38" t="b">
        <v>0</v>
      </c>
      <c r="J13" s="38" t="b">
        <v>0</v>
      </c>
      <c r="K13" s="38" t="b">
        <v>0</v>
      </c>
      <c r="L13" s="38" t="b">
        <v>0</v>
      </c>
      <c r="M13" s="38" t="b">
        <v>0</v>
      </c>
      <c r="N13" s="38" t="b">
        <v>0</v>
      </c>
      <c r="O13" s="38" t="b">
        <v>0</v>
      </c>
      <c r="P13" s="38" t="b">
        <v>0</v>
      </c>
      <c r="Q13" s="38" t="b">
        <v>0</v>
      </c>
      <c r="R13" s="38" t="b">
        <v>0</v>
      </c>
    </row>
    <row r="14" spans="1:18" ht="18" customHeight="1">
      <c r="A14" s="79"/>
      <c r="B14" s="26" t="s">
        <v>219</v>
      </c>
      <c r="C14" s="38" t="b">
        <v>0</v>
      </c>
      <c r="D14" s="38" t="b">
        <v>0</v>
      </c>
      <c r="E14" s="38" t="b">
        <v>0</v>
      </c>
      <c r="F14" s="38" t="b">
        <v>0</v>
      </c>
      <c r="G14" s="38" t="b">
        <v>0</v>
      </c>
      <c r="H14" s="38" t="b">
        <v>0</v>
      </c>
      <c r="I14" s="38" t="b">
        <v>0</v>
      </c>
      <c r="J14" s="38" t="b">
        <v>0</v>
      </c>
      <c r="K14" s="38" t="b">
        <v>0</v>
      </c>
      <c r="L14" s="38" t="b">
        <v>0</v>
      </c>
      <c r="M14" s="38" t="b">
        <v>0</v>
      </c>
      <c r="N14" s="38" t="b">
        <v>0</v>
      </c>
      <c r="O14" s="38" t="b">
        <v>0</v>
      </c>
      <c r="P14" s="38" t="b">
        <v>0</v>
      </c>
      <c r="Q14" s="38" t="b">
        <v>0</v>
      </c>
      <c r="R14" s="38" t="b">
        <v>0</v>
      </c>
    </row>
    <row r="15" spans="1:18" ht="18" customHeight="1">
      <c r="A15" s="80"/>
      <c r="B15" s="26" t="s">
        <v>138</v>
      </c>
      <c r="C15" s="38" t="b">
        <v>0</v>
      </c>
      <c r="D15" s="4"/>
      <c r="E15" s="4"/>
      <c r="F15" s="4"/>
      <c r="G15" s="4"/>
      <c r="H15" s="4"/>
      <c r="I15" s="38" t="b">
        <v>0</v>
      </c>
      <c r="J15" s="4"/>
      <c r="K15" s="4"/>
      <c r="L15" s="4"/>
      <c r="M15" s="4"/>
      <c r="N15" s="4"/>
      <c r="O15" s="38" t="b">
        <v>0</v>
      </c>
      <c r="P15" s="4"/>
      <c r="Q15" s="4"/>
      <c r="R15" s="4"/>
    </row>
    <row r="16" spans="1:18" ht="18" customHeight="1">
      <c r="A16" s="78" t="s">
        <v>203</v>
      </c>
      <c r="B16" s="26" t="s">
        <v>206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  <c r="P16" s="38" t="b">
        <v>0</v>
      </c>
      <c r="Q16" s="38" t="b">
        <v>0</v>
      </c>
      <c r="R16" s="38" t="b">
        <v>0</v>
      </c>
    </row>
    <row r="17" spans="1:18" ht="18" customHeight="1">
      <c r="A17" s="79"/>
      <c r="B17" s="26" t="s">
        <v>122</v>
      </c>
      <c r="C17" s="38" t="b">
        <v>0</v>
      </c>
      <c r="D17" s="38" t="b">
        <v>0</v>
      </c>
      <c r="E17" s="38" t="b">
        <v>0</v>
      </c>
      <c r="F17" s="38" t="b">
        <v>0</v>
      </c>
      <c r="G17" s="38" t="b">
        <v>0</v>
      </c>
      <c r="H17" s="38" t="b">
        <v>0</v>
      </c>
      <c r="I17" s="38" t="b">
        <v>0</v>
      </c>
      <c r="J17" s="38" t="b">
        <v>0</v>
      </c>
      <c r="K17" s="38" t="b">
        <v>0</v>
      </c>
      <c r="L17" s="38" t="b">
        <v>0</v>
      </c>
      <c r="M17" s="38" t="b">
        <v>0</v>
      </c>
      <c r="N17" s="38" t="b">
        <v>0</v>
      </c>
      <c r="O17" s="38" t="b">
        <v>0</v>
      </c>
      <c r="P17" s="38" t="b">
        <v>0</v>
      </c>
      <c r="Q17" s="38" t="b">
        <v>0</v>
      </c>
      <c r="R17" s="38" t="b">
        <v>0</v>
      </c>
    </row>
    <row r="18" spans="1:18" ht="18" customHeight="1">
      <c r="A18" s="79"/>
      <c r="B18" s="26" t="s">
        <v>204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8" t="b">
        <v>0</v>
      </c>
      <c r="J18" s="38" t="b">
        <v>0</v>
      </c>
      <c r="K18" s="38" t="b">
        <v>0</v>
      </c>
      <c r="L18" s="38" t="b">
        <v>0</v>
      </c>
      <c r="M18" s="38" t="b">
        <v>0</v>
      </c>
      <c r="N18" s="38" t="b">
        <v>0</v>
      </c>
      <c r="O18" s="38" t="b">
        <v>0</v>
      </c>
      <c r="P18" s="38" t="b">
        <v>0</v>
      </c>
      <c r="Q18" s="38" t="b">
        <v>0</v>
      </c>
      <c r="R18" s="38" t="b">
        <v>0</v>
      </c>
    </row>
    <row r="19" spans="1:18" ht="18" customHeight="1">
      <c r="A19" s="80"/>
      <c r="B19" s="26" t="s">
        <v>205</v>
      </c>
      <c r="C19" s="38" t="b">
        <v>0</v>
      </c>
      <c r="D19" s="38" t="b">
        <v>0</v>
      </c>
      <c r="E19" s="38" t="b">
        <v>0</v>
      </c>
      <c r="F19" s="38" t="b">
        <v>0</v>
      </c>
      <c r="G19" s="38" t="b">
        <v>0</v>
      </c>
      <c r="H19" s="38" t="b">
        <v>0</v>
      </c>
      <c r="I19" s="38" t="b">
        <v>0</v>
      </c>
      <c r="J19" s="38" t="b">
        <v>0</v>
      </c>
      <c r="K19" s="38" t="b">
        <v>0</v>
      </c>
      <c r="L19" s="38" t="b">
        <v>0</v>
      </c>
      <c r="M19" s="38" t="b">
        <v>0</v>
      </c>
      <c r="N19" s="38" t="b">
        <v>0</v>
      </c>
      <c r="O19" s="38" t="b">
        <v>0</v>
      </c>
      <c r="P19" s="38" t="b">
        <v>0</v>
      </c>
      <c r="Q19" s="38" t="b">
        <v>0</v>
      </c>
      <c r="R19" s="38" t="b">
        <v>0</v>
      </c>
    </row>
    <row r="20" spans="1:18" ht="18" customHeight="1">
      <c r="A20" s="37"/>
      <c r="B20" s="9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ht="18" customHeight="1">
      <c r="A21" s="37"/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ht="18" customHeight="1">
      <c r="A22" s="37"/>
      <c r="B22" s="9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ht="18" customHeight="1">
      <c r="A23" s="90" t="s">
        <v>45</v>
      </c>
      <c r="B23" s="90"/>
      <c r="C23" s="93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</row>
    <row r="24" spans="1:18" ht="18" customHeight="1">
      <c r="A24" s="91"/>
      <c r="B24" s="91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</row>
    <row r="25" spans="1:18" ht="18" customHeight="1">
      <c r="A25" s="91"/>
      <c r="B25" s="91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</row>
    <row r="26" spans="1:18" ht="18" customHeight="1">
      <c r="A26" s="91"/>
      <c r="B26" s="91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</row>
    <row r="27" spans="1:18" ht="18" customHeight="1">
      <c r="A27" s="91"/>
      <c r="B27" s="91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</row>
    <row r="28" spans="1:18" ht="18" customHeight="1">
      <c r="A28" s="91"/>
      <c r="B28" s="91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</row>
    <row r="29" spans="1:18" ht="18" customHeight="1">
      <c r="A29" s="92"/>
      <c r="B29" s="92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</row>
    <row r="30" spans="1:18" ht="18" customHeight="1">
      <c r="A30" s="81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3"/>
    </row>
    <row r="31" spans="1:18" ht="14.45" customHeight="1">
      <c r="A31" s="84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6"/>
    </row>
    <row r="32" spans="1:18">
      <c r="A32" s="84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6"/>
    </row>
    <row r="33" spans="1:18">
      <c r="A33" s="84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6"/>
    </row>
    <row r="34" spans="1:18">
      <c r="A34" s="84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6"/>
    </row>
    <row r="35" spans="1:18">
      <c r="A35" s="84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6"/>
    </row>
    <row r="36" spans="1:18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6"/>
    </row>
    <row r="37" spans="1:18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6"/>
    </row>
    <row r="38" spans="1:18">
      <c r="A38" s="84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6"/>
    </row>
    <row r="39" spans="1:18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6"/>
    </row>
    <row r="40" spans="1:18">
      <c r="A40" s="84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6"/>
    </row>
    <row r="41" spans="1:18">
      <c r="A41" s="84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6"/>
    </row>
    <row r="42" spans="1:18">
      <c r="A42" s="84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6"/>
    </row>
    <row r="43" spans="1:18">
      <c r="A43" s="84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6"/>
    </row>
    <row r="44" spans="1:18">
      <c r="A44" s="84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6"/>
    </row>
    <row r="45" spans="1:18">
      <c r="A45" s="84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6"/>
    </row>
    <row r="46" spans="1:18">
      <c r="A46" s="84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6"/>
    </row>
    <row r="47" spans="1:18">
      <c r="A47" s="84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6"/>
    </row>
    <row r="48" spans="1:18">
      <c r="A48" s="84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6"/>
    </row>
    <row r="49" spans="1:18">
      <c r="A49" s="87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9"/>
    </row>
  </sheetData>
  <mergeCells count="10">
    <mergeCell ref="A11:A15"/>
    <mergeCell ref="A16:A19"/>
    <mergeCell ref="A30:R49"/>
    <mergeCell ref="A23:B29"/>
    <mergeCell ref="C23:R29"/>
    <mergeCell ref="A1:R1"/>
    <mergeCell ref="C2:R3"/>
    <mergeCell ref="A4:B4"/>
    <mergeCell ref="C4:R4"/>
    <mergeCell ref="A8:A10"/>
  </mergeCells>
  <phoneticPr fontId="11" type="noConversion"/>
  <pageMargins left="0" right="0" top="0.3" bottom="0.3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8B0A-C69F-4D73-92DD-717949E4ED54}">
  <sheetPr codeName="Sheet3"/>
  <dimension ref="A1:R47"/>
  <sheetViews>
    <sheetView zoomScaleNormal="100" workbookViewId="0">
      <selection activeCell="B12" sqref="B12"/>
    </sheetView>
  </sheetViews>
  <sheetFormatPr defaultColWidth="8.85546875" defaultRowHeight="12.75"/>
  <cols>
    <col min="1" max="1" width="14.7109375" style="2" bestFit="1" customWidth="1"/>
    <col min="2" max="2" width="31.140625" style="1" customWidth="1"/>
    <col min="3" max="18" width="10.28515625" style="1" customWidth="1"/>
    <col min="19" max="16384" width="8.85546875" style="1"/>
  </cols>
  <sheetData>
    <row r="1" spans="1:18" ht="31.9" customHeight="1">
      <c r="A1" s="70" t="s">
        <v>213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18" ht="13.15" customHeight="1">
      <c r="A2" s="13"/>
      <c r="B2" s="14"/>
      <c r="C2" s="71" t="s">
        <v>221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18" ht="13.15" customHeight="1">
      <c r="A3" s="13" t="s">
        <v>47</v>
      </c>
      <c r="B3" s="15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</row>
    <row r="4" spans="1:18" ht="19.899999999999999" customHeight="1">
      <c r="A4" s="73" t="s">
        <v>13</v>
      </c>
      <c r="B4" s="73"/>
      <c r="C4" s="74" t="s">
        <v>222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</row>
    <row r="5" spans="1:18" ht="18" customHeight="1">
      <c r="A5" s="25" t="s">
        <v>3</v>
      </c>
      <c r="B5" s="10" t="s">
        <v>220</v>
      </c>
      <c r="C5" s="39"/>
      <c r="D5" s="39"/>
      <c r="E5" s="39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18" customHeight="1">
      <c r="A6" s="35"/>
      <c r="B6" s="10" t="s">
        <v>27</v>
      </c>
      <c r="C6" s="10">
        <v>3</v>
      </c>
      <c r="D6" s="10">
        <v>3</v>
      </c>
      <c r="E6" s="10">
        <v>3</v>
      </c>
      <c r="F6" s="10">
        <v>3</v>
      </c>
      <c r="G6" s="10">
        <v>3</v>
      </c>
      <c r="H6" s="10">
        <v>3</v>
      </c>
      <c r="I6" s="10">
        <v>3</v>
      </c>
      <c r="J6" s="10">
        <v>3</v>
      </c>
      <c r="K6" s="10">
        <v>3</v>
      </c>
      <c r="L6" s="10">
        <v>3</v>
      </c>
      <c r="M6" s="10">
        <v>3</v>
      </c>
      <c r="N6" s="10">
        <v>3</v>
      </c>
      <c r="O6" s="10">
        <v>3</v>
      </c>
      <c r="P6" s="10">
        <v>3</v>
      </c>
      <c r="Q6" s="10">
        <v>3</v>
      </c>
      <c r="R6" s="10">
        <v>3</v>
      </c>
    </row>
    <row r="7" spans="1:18" ht="18" customHeight="1">
      <c r="A7" s="36"/>
      <c r="B7" s="10" t="s">
        <v>28</v>
      </c>
      <c r="C7" s="10">
        <v>8</v>
      </c>
      <c r="D7" s="10">
        <v>8</v>
      </c>
      <c r="E7" s="10">
        <v>8</v>
      </c>
      <c r="F7" s="10">
        <v>8</v>
      </c>
      <c r="G7" s="10">
        <v>8</v>
      </c>
      <c r="H7" s="10">
        <v>8</v>
      </c>
      <c r="I7" s="10">
        <v>8</v>
      </c>
      <c r="J7" s="10">
        <v>8</v>
      </c>
      <c r="K7" s="10">
        <v>8</v>
      </c>
      <c r="L7" s="10">
        <v>8</v>
      </c>
      <c r="M7" s="10">
        <v>8</v>
      </c>
      <c r="N7" s="10">
        <v>8</v>
      </c>
      <c r="O7" s="10">
        <v>8</v>
      </c>
      <c r="P7" s="10">
        <v>8</v>
      </c>
      <c r="Q7" s="10">
        <v>8</v>
      </c>
      <c r="R7" s="10">
        <v>8</v>
      </c>
    </row>
    <row r="8" spans="1:18" ht="18" customHeight="1">
      <c r="A8" s="97" t="s">
        <v>224</v>
      </c>
      <c r="B8" s="26" t="s">
        <v>207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  <c r="P8" s="38" t="b">
        <v>0</v>
      </c>
      <c r="Q8" s="38" t="b">
        <v>0</v>
      </c>
      <c r="R8" s="38" t="b">
        <v>0</v>
      </c>
    </row>
    <row r="9" spans="1:18" ht="18" customHeight="1">
      <c r="A9" s="98"/>
      <c r="B9" s="26" t="s">
        <v>246</v>
      </c>
      <c r="C9" s="38" t="b">
        <v>0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  <c r="P9" s="38" t="b">
        <v>0</v>
      </c>
      <c r="Q9" s="38" t="b">
        <v>0</v>
      </c>
      <c r="R9" s="38" t="b">
        <v>0</v>
      </c>
    </row>
    <row r="10" spans="1:18" ht="18" customHeight="1">
      <c r="A10" s="98"/>
      <c r="B10" s="26" t="s">
        <v>247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  <c r="P10" s="38" t="b">
        <v>0</v>
      </c>
      <c r="Q10" s="38" t="b">
        <v>0</v>
      </c>
      <c r="R10" s="38" t="b">
        <v>0</v>
      </c>
    </row>
    <row r="11" spans="1:18" ht="18" customHeight="1">
      <c r="A11" s="98"/>
      <c r="B11" s="26" t="s">
        <v>245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  <c r="P11" s="38" t="b">
        <v>0</v>
      </c>
      <c r="Q11" s="38" t="b">
        <v>0</v>
      </c>
      <c r="R11" s="38" t="b">
        <v>0</v>
      </c>
    </row>
    <row r="12" spans="1:18" ht="18" customHeight="1">
      <c r="A12" s="78" t="s">
        <v>225</v>
      </c>
      <c r="B12" s="26" t="s">
        <v>206</v>
      </c>
      <c r="C12" s="38" t="b">
        <v>0</v>
      </c>
      <c r="D12" s="38" t="b">
        <v>0</v>
      </c>
      <c r="E12" s="38" t="b">
        <v>0</v>
      </c>
      <c r="F12" s="38" t="b">
        <v>0</v>
      </c>
      <c r="G12" s="38" t="b">
        <v>0</v>
      </c>
      <c r="H12" s="38" t="b">
        <v>0</v>
      </c>
      <c r="I12" s="38" t="b">
        <v>0</v>
      </c>
      <c r="J12" s="38" t="b">
        <v>0</v>
      </c>
      <c r="K12" s="38" t="b">
        <v>0</v>
      </c>
      <c r="L12" s="38" t="b">
        <v>0</v>
      </c>
      <c r="M12" s="38" t="b">
        <v>0</v>
      </c>
      <c r="N12" s="38" t="b">
        <v>0</v>
      </c>
      <c r="O12" s="38" t="b">
        <v>0</v>
      </c>
      <c r="P12" s="38" t="b">
        <v>0</v>
      </c>
      <c r="Q12" s="38" t="b">
        <v>0</v>
      </c>
      <c r="R12" s="38" t="b">
        <v>0</v>
      </c>
    </row>
    <row r="13" spans="1:18" ht="18" customHeight="1">
      <c r="A13" s="79"/>
      <c r="B13" s="26" t="s">
        <v>122</v>
      </c>
      <c r="C13" s="38" t="b">
        <v>0</v>
      </c>
      <c r="D13" s="38" t="b">
        <v>0</v>
      </c>
      <c r="E13" s="38" t="b">
        <v>0</v>
      </c>
      <c r="F13" s="38" t="b">
        <v>0</v>
      </c>
      <c r="G13" s="38" t="b">
        <v>0</v>
      </c>
      <c r="H13" s="38" t="b">
        <v>0</v>
      </c>
      <c r="I13" s="38" t="b">
        <v>0</v>
      </c>
      <c r="J13" s="38" t="b">
        <v>0</v>
      </c>
      <c r="K13" s="38" t="b">
        <v>0</v>
      </c>
      <c r="L13" s="38" t="b">
        <v>0</v>
      </c>
      <c r="M13" s="38" t="b">
        <v>0</v>
      </c>
      <c r="N13" s="38" t="b">
        <v>0</v>
      </c>
      <c r="O13" s="38" t="b">
        <v>0</v>
      </c>
      <c r="P13" s="38" t="b">
        <v>0</v>
      </c>
      <c r="Q13" s="38" t="b">
        <v>0</v>
      </c>
      <c r="R13" s="38" t="b">
        <v>0</v>
      </c>
    </row>
    <row r="14" spans="1:18" ht="18" customHeight="1">
      <c r="A14" s="79"/>
      <c r="B14" s="26" t="s">
        <v>204</v>
      </c>
      <c r="C14" s="38" t="b">
        <v>0</v>
      </c>
      <c r="D14" s="38" t="b">
        <v>0</v>
      </c>
      <c r="E14" s="38" t="b">
        <v>0</v>
      </c>
      <c r="F14" s="38" t="b">
        <v>0</v>
      </c>
      <c r="G14" s="38" t="b">
        <v>0</v>
      </c>
      <c r="H14" s="38" t="b">
        <v>0</v>
      </c>
      <c r="I14" s="38" t="b">
        <v>0</v>
      </c>
      <c r="J14" s="38" t="b">
        <v>0</v>
      </c>
      <c r="K14" s="38" t="b">
        <v>0</v>
      </c>
      <c r="L14" s="38" t="b">
        <v>0</v>
      </c>
      <c r="M14" s="38" t="b">
        <v>0</v>
      </c>
      <c r="N14" s="38" t="b">
        <v>0</v>
      </c>
      <c r="O14" s="38" t="b">
        <v>0</v>
      </c>
      <c r="P14" s="38" t="b">
        <v>0</v>
      </c>
      <c r="Q14" s="38" t="b">
        <v>0</v>
      </c>
      <c r="R14" s="38" t="b">
        <v>0</v>
      </c>
    </row>
    <row r="15" spans="1:18" ht="18" customHeight="1">
      <c r="A15" s="80"/>
      <c r="B15" s="26" t="s">
        <v>205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  <c r="P15" s="38" t="b">
        <v>0</v>
      </c>
      <c r="Q15" s="38" t="b">
        <v>0</v>
      </c>
      <c r="R15" s="38" t="b">
        <v>0</v>
      </c>
    </row>
    <row r="16" spans="1:18" ht="18" customHeight="1">
      <c r="A16" s="6" t="s">
        <v>239</v>
      </c>
      <c r="B16" s="9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8" customHeight="1">
      <c r="A17" s="37" t="s">
        <v>240</v>
      </c>
      <c r="B17" s="9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ht="18" customHeight="1">
      <c r="A18" s="37" t="s">
        <v>241</v>
      </c>
      <c r="B18" s="9" t="s">
        <v>242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ht="18" customHeight="1">
      <c r="A19" s="37"/>
      <c r="B19" s="9" t="s">
        <v>243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ht="18" customHeight="1">
      <c r="A20" s="37"/>
      <c r="B20" s="9" t="s">
        <v>244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ht="18" customHeight="1">
      <c r="A21" s="90" t="s">
        <v>45</v>
      </c>
      <c r="B21" s="90"/>
      <c r="C21" s="93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</row>
    <row r="22" spans="1:18" ht="18" customHeight="1">
      <c r="A22" s="91"/>
      <c r="B22" s="91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</row>
    <row r="23" spans="1:18" ht="18" customHeight="1">
      <c r="A23" s="91"/>
      <c r="B23" s="91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</row>
    <row r="24" spans="1:18" ht="18" customHeight="1">
      <c r="A24" s="91"/>
      <c r="B24" s="91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</row>
    <row r="25" spans="1:18" ht="18" customHeight="1">
      <c r="A25" s="91"/>
      <c r="B25" s="91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</row>
    <row r="26" spans="1:18" ht="18" customHeight="1">
      <c r="A26" s="91"/>
      <c r="B26" s="91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</row>
    <row r="27" spans="1:18" ht="18" customHeight="1">
      <c r="A27" s="92"/>
      <c r="B27" s="92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</row>
    <row r="28" spans="1:18" ht="18" customHeight="1">
      <c r="A28" s="81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3"/>
    </row>
    <row r="29" spans="1:18" ht="14.45" customHeight="1">
      <c r="A29" s="84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6"/>
    </row>
    <row r="30" spans="1:18">
      <c r="A30" s="84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6"/>
    </row>
    <row r="31" spans="1:18">
      <c r="A31" s="84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6"/>
    </row>
    <row r="32" spans="1:18">
      <c r="A32" s="84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6"/>
    </row>
    <row r="33" spans="1:18">
      <c r="A33" s="84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6"/>
    </row>
    <row r="34" spans="1:18">
      <c r="A34" s="84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6"/>
    </row>
    <row r="35" spans="1:18">
      <c r="A35" s="84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6"/>
    </row>
    <row r="36" spans="1:18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6"/>
    </row>
    <row r="37" spans="1:18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6"/>
    </row>
    <row r="38" spans="1:18">
      <c r="A38" s="84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6"/>
    </row>
    <row r="39" spans="1:18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6"/>
    </row>
    <row r="40" spans="1:18">
      <c r="A40" s="84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6"/>
    </row>
    <row r="41" spans="1:18">
      <c r="A41" s="84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6"/>
    </row>
    <row r="42" spans="1:18">
      <c r="A42" s="84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6"/>
    </row>
    <row r="43" spans="1:18">
      <c r="A43" s="84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6"/>
    </row>
    <row r="44" spans="1:18">
      <c r="A44" s="84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6"/>
    </row>
    <row r="45" spans="1:18">
      <c r="A45" s="84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6"/>
    </row>
    <row r="46" spans="1:18">
      <c r="A46" s="84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6"/>
    </row>
    <row r="47" spans="1:18">
      <c r="A47" s="87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9"/>
    </row>
  </sheetData>
  <mergeCells count="9">
    <mergeCell ref="A12:A15"/>
    <mergeCell ref="A21:B27"/>
    <mergeCell ref="C21:R27"/>
    <mergeCell ref="A28:R47"/>
    <mergeCell ref="A1:R1"/>
    <mergeCell ref="C2:R3"/>
    <mergeCell ref="A4:B4"/>
    <mergeCell ref="C4:R4"/>
    <mergeCell ref="A8:A11"/>
  </mergeCells>
  <pageMargins left="0" right="0" top="0.3" bottom="0.3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D8E33-80FD-4A53-8AAA-1E73E5C14969}">
  <sheetPr codeName="Sheet4"/>
  <dimension ref="A1:R55"/>
  <sheetViews>
    <sheetView zoomScaleNormal="100" workbookViewId="0">
      <selection activeCell="A8" sqref="A8:A16"/>
    </sheetView>
  </sheetViews>
  <sheetFormatPr defaultColWidth="8.85546875" defaultRowHeight="12.75"/>
  <cols>
    <col min="1" max="1" width="14.7109375" style="2" bestFit="1" customWidth="1"/>
    <col min="2" max="2" width="31.140625" style="1" customWidth="1"/>
    <col min="3" max="18" width="10.28515625" style="1" customWidth="1"/>
    <col min="19" max="16384" width="8.85546875" style="1"/>
  </cols>
  <sheetData>
    <row r="1" spans="1:18" ht="31.9" customHeight="1">
      <c r="A1" s="70" t="s">
        <v>213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18" ht="13.15" customHeight="1">
      <c r="A2" s="13"/>
      <c r="B2" s="14"/>
      <c r="C2" s="71" t="s">
        <v>221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18" ht="13.15" customHeight="1">
      <c r="A3" s="13" t="s">
        <v>47</v>
      </c>
      <c r="B3" s="15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</row>
    <row r="4" spans="1:18" ht="19.899999999999999" customHeight="1">
      <c r="A4" s="73" t="s">
        <v>13</v>
      </c>
      <c r="B4" s="73"/>
      <c r="C4" s="74" t="s">
        <v>222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</row>
    <row r="5" spans="1:18" ht="18" customHeight="1">
      <c r="A5" s="25" t="s">
        <v>3</v>
      </c>
      <c r="B5" s="10" t="s">
        <v>220</v>
      </c>
      <c r="C5" s="39"/>
      <c r="D5" s="39"/>
      <c r="E5" s="39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18" customHeight="1">
      <c r="A6" s="35"/>
      <c r="B6" s="10" t="s">
        <v>27</v>
      </c>
      <c r="C6" s="10">
        <v>3</v>
      </c>
      <c r="D6" s="10">
        <v>3</v>
      </c>
      <c r="E6" s="10">
        <v>3</v>
      </c>
      <c r="F6" s="10">
        <v>3</v>
      </c>
      <c r="G6" s="10">
        <v>3</v>
      </c>
      <c r="H6" s="10">
        <v>3</v>
      </c>
      <c r="I6" s="10">
        <v>3</v>
      </c>
      <c r="J6" s="10">
        <v>3</v>
      </c>
      <c r="K6" s="10">
        <v>3</v>
      </c>
      <c r="L6" s="10">
        <v>3</v>
      </c>
      <c r="M6" s="10">
        <v>3</v>
      </c>
      <c r="N6" s="10">
        <v>3</v>
      </c>
      <c r="O6" s="10">
        <v>3</v>
      </c>
      <c r="P6" s="10">
        <v>3</v>
      </c>
      <c r="Q6" s="10">
        <v>3</v>
      </c>
      <c r="R6" s="10">
        <v>3</v>
      </c>
    </row>
    <row r="7" spans="1:18" ht="18" customHeight="1">
      <c r="A7" s="36"/>
      <c r="B7" s="10" t="s">
        <v>28</v>
      </c>
      <c r="C7" s="10">
        <v>8</v>
      </c>
      <c r="D7" s="10">
        <v>8</v>
      </c>
      <c r="E7" s="10">
        <v>8</v>
      </c>
      <c r="F7" s="10">
        <v>8</v>
      </c>
      <c r="G7" s="10">
        <v>8</v>
      </c>
      <c r="H7" s="10">
        <v>8</v>
      </c>
      <c r="I7" s="10">
        <v>8</v>
      </c>
      <c r="J7" s="10">
        <v>8</v>
      </c>
      <c r="K7" s="10">
        <v>8</v>
      </c>
      <c r="L7" s="10">
        <v>8</v>
      </c>
      <c r="M7" s="10">
        <v>8</v>
      </c>
      <c r="N7" s="10">
        <v>8</v>
      </c>
      <c r="O7" s="10">
        <v>8</v>
      </c>
      <c r="P7" s="10">
        <v>8</v>
      </c>
      <c r="Q7" s="10">
        <v>8</v>
      </c>
      <c r="R7" s="10">
        <v>8</v>
      </c>
    </row>
    <row r="8" spans="1:18" ht="18" customHeight="1">
      <c r="A8" s="75" t="s">
        <v>223</v>
      </c>
      <c r="B8" s="20" t="s">
        <v>123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  <c r="P8" s="38" t="b">
        <v>0</v>
      </c>
      <c r="Q8" s="38" t="b">
        <v>0</v>
      </c>
      <c r="R8" s="38" t="b">
        <v>0</v>
      </c>
    </row>
    <row r="9" spans="1:18" ht="18" customHeight="1">
      <c r="A9" s="76"/>
      <c r="B9" s="20" t="s">
        <v>121</v>
      </c>
      <c r="C9" s="38" t="b">
        <v>0</v>
      </c>
      <c r="D9" s="4"/>
      <c r="E9" s="4"/>
      <c r="F9" s="38" t="b">
        <v>0</v>
      </c>
      <c r="G9" s="4"/>
      <c r="H9" s="4"/>
      <c r="I9" s="38" t="b">
        <v>0</v>
      </c>
      <c r="J9" s="4"/>
      <c r="K9" s="4"/>
      <c r="L9" s="38" t="b">
        <v>0</v>
      </c>
      <c r="M9" s="4"/>
      <c r="N9" s="4"/>
      <c r="O9" s="38" t="b">
        <v>0</v>
      </c>
      <c r="P9" s="4"/>
      <c r="Q9" s="4"/>
      <c r="R9" s="38" t="b">
        <v>0</v>
      </c>
    </row>
    <row r="10" spans="1:18" ht="18" customHeight="1">
      <c r="A10" s="76"/>
      <c r="B10" s="20" t="s">
        <v>122</v>
      </c>
      <c r="C10" s="38" t="b">
        <v>0</v>
      </c>
      <c r="D10" s="4"/>
      <c r="E10" s="4"/>
      <c r="F10" s="38" t="b">
        <v>0</v>
      </c>
      <c r="G10" s="4"/>
      <c r="H10" s="4"/>
      <c r="I10" s="38" t="b">
        <v>0</v>
      </c>
      <c r="J10" s="4"/>
      <c r="K10" s="4"/>
      <c r="L10" s="38" t="b">
        <v>0</v>
      </c>
      <c r="M10" s="4"/>
      <c r="N10" s="4"/>
      <c r="O10" s="38" t="b">
        <v>0</v>
      </c>
      <c r="P10" s="4"/>
      <c r="Q10" s="4"/>
      <c r="R10" s="38" t="b">
        <v>0</v>
      </c>
    </row>
    <row r="11" spans="1:18" ht="18" customHeight="1">
      <c r="A11" s="76"/>
      <c r="B11" s="20" t="s">
        <v>125</v>
      </c>
      <c r="C11" s="38" t="b">
        <v>0</v>
      </c>
      <c r="D11" s="4"/>
      <c r="E11" s="4"/>
      <c r="F11" s="38" t="b">
        <v>0</v>
      </c>
      <c r="G11" s="4"/>
      <c r="H11" s="4"/>
      <c r="I11" s="38" t="b">
        <v>0</v>
      </c>
      <c r="J11" s="4"/>
      <c r="K11" s="4"/>
      <c r="L11" s="38" t="b">
        <v>0</v>
      </c>
      <c r="M11" s="4"/>
      <c r="N11" s="4"/>
      <c r="O11" s="38" t="b">
        <v>0</v>
      </c>
      <c r="P11" s="4"/>
      <c r="Q11" s="4"/>
      <c r="R11" s="38" t="b">
        <v>0</v>
      </c>
    </row>
    <row r="12" spans="1:18" ht="18" customHeight="1">
      <c r="A12" s="76"/>
      <c r="B12" s="20" t="s">
        <v>124</v>
      </c>
      <c r="C12" s="38" t="b">
        <v>0</v>
      </c>
      <c r="D12" s="4"/>
      <c r="E12" s="4"/>
      <c r="F12" s="38" t="b">
        <v>0</v>
      </c>
      <c r="G12" s="4"/>
      <c r="H12" s="4"/>
      <c r="I12" s="38" t="b">
        <v>0</v>
      </c>
      <c r="J12" s="4"/>
      <c r="K12" s="4"/>
      <c r="L12" s="38" t="b">
        <v>0</v>
      </c>
      <c r="M12" s="4"/>
      <c r="N12" s="4"/>
      <c r="O12" s="38" t="b">
        <v>0</v>
      </c>
      <c r="P12" s="4"/>
      <c r="Q12" s="4"/>
      <c r="R12" s="38" t="b">
        <v>0</v>
      </c>
    </row>
    <row r="13" spans="1:18" ht="18" customHeight="1">
      <c r="A13" s="76"/>
      <c r="B13" s="20" t="s">
        <v>126</v>
      </c>
      <c r="C13" s="38" t="b">
        <v>0</v>
      </c>
      <c r="D13" s="4"/>
      <c r="E13" s="4"/>
      <c r="F13" s="38" t="b">
        <v>0</v>
      </c>
      <c r="G13" s="4"/>
      <c r="H13" s="4"/>
      <c r="I13" s="38" t="b">
        <v>0</v>
      </c>
      <c r="J13" s="4"/>
      <c r="K13" s="4"/>
      <c r="L13" s="38" t="b">
        <v>0</v>
      </c>
      <c r="M13" s="4"/>
      <c r="N13" s="4"/>
      <c r="O13" s="38" t="b">
        <v>0</v>
      </c>
      <c r="P13" s="4"/>
      <c r="Q13" s="4"/>
      <c r="R13" s="38" t="b">
        <v>0</v>
      </c>
    </row>
    <row r="14" spans="1:18" ht="18" customHeight="1">
      <c r="A14" s="76"/>
      <c r="B14" s="20" t="s">
        <v>127</v>
      </c>
      <c r="C14" s="38" t="b">
        <v>0</v>
      </c>
      <c r="D14" s="4"/>
      <c r="E14" s="4"/>
      <c r="F14" s="38" t="b">
        <v>0</v>
      </c>
      <c r="G14" s="4"/>
      <c r="H14" s="4"/>
      <c r="I14" s="38" t="b">
        <v>0</v>
      </c>
      <c r="J14" s="4"/>
      <c r="K14" s="4"/>
      <c r="L14" s="38" t="b">
        <v>0</v>
      </c>
      <c r="M14" s="4"/>
      <c r="N14" s="4"/>
      <c r="O14" s="38" t="b">
        <v>0</v>
      </c>
      <c r="P14" s="4"/>
      <c r="Q14" s="4"/>
      <c r="R14" s="38" t="b">
        <v>0</v>
      </c>
    </row>
    <row r="15" spans="1:18" ht="18" customHeight="1">
      <c r="A15" s="76"/>
      <c r="B15" s="20" t="s">
        <v>128</v>
      </c>
      <c r="C15" s="38" t="b">
        <v>0</v>
      </c>
      <c r="D15" s="4"/>
      <c r="E15" s="4"/>
      <c r="F15" s="38" t="b">
        <v>0</v>
      </c>
      <c r="G15" s="4"/>
      <c r="H15" s="4"/>
      <c r="I15" s="38" t="b">
        <v>0</v>
      </c>
      <c r="J15" s="4"/>
      <c r="K15" s="4"/>
      <c r="L15" s="38" t="b">
        <v>0</v>
      </c>
      <c r="M15" s="4"/>
      <c r="N15" s="4"/>
      <c r="O15" s="38" t="b">
        <v>0</v>
      </c>
      <c r="P15" s="4"/>
      <c r="Q15" s="4"/>
      <c r="R15" s="38" t="b">
        <v>0</v>
      </c>
    </row>
    <row r="16" spans="1:18" ht="18" customHeight="1">
      <c r="A16" s="76"/>
      <c r="B16" s="20" t="s">
        <v>129</v>
      </c>
      <c r="C16" s="38" t="b">
        <v>0</v>
      </c>
      <c r="D16" s="4"/>
      <c r="E16" s="4"/>
      <c r="F16" s="38" t="b">
        <v>0</v>
      </c>
      <c r="G16" s="4"/>
      <c r="H16" s="4"/>
      <c r="I16" s="38" t="b">
        <v>0</v>
      </c>
      <c r="J16" s="4"/>
      <c r="K16" s="4"/>
      <c r="L16" s="38" t="b">
        <v>0</v>
      </c>
      <c r="M16" s="4"/>
      <c r="N16" s="4"/>
      <c r="O16" s="38" t="b">
        <v>0</v>
      </c>
      <c r="P16" s="4"/>
      <c r="Q16" s="4"/>
      <c r="R16" s="38" t="b">
        <v>0</v>
      </c>
    </row>
    <row r="17" spans="1:18" ht="18" customHeight="1">
      <c r="A17" s="97" t="s">
        <v>224</v>
      </c>
      <c r="B17" s="26" t="s">
        <v>148</v>
      </c>
      <c r="C17" s="38" t="b">
        <v>0</v>
      </c>
      <c r="D17" s="38" t="b">
        <v>0</v>
      </c>
      <c r="E17" s="38" t="b">
        <v>0</v>
      </c>
      <c r="F17" s="38" t="b">
        <v>0</v>
      </c>
      <c r="G17" s="38" t="b">
        <v>0</v>
      </c>
      <c r="H17" s="38" t="b">
        <v>0</v>
      </c>
      <c r="I17" s="38" t="b">
        <v>0</v>
      </c>
      <c r="J17" s="38" t="b">
        <v>0</v>
      </c>
      <c r="K17" s="38" t="b">
        <v>0</v>
      </c>
      <c r="L17" s="38" t="b">
        <v>0</v>
      </c>
      <c r="M17" s="38" t="b">
        <v>0</v>
      </c>
      <c r="N17" s="38" t="b">
        <v>0</v>
      </c>
      <c r="O17" s="38" t="b">
        <v>0</v>
      </c>
      <c r="P17" s="38" t="b">
        <v>0</v>
      </c>
      <c r="Q17" s="38" t="b">
        <v>0</v>
      </c>
      <c r="R17" s="38" t="b">
        <v>0</v>
      </c>
    </row>
    <row r="18" spans="1:18" ht="18" customHeight="1">
      <c r="A18" s="98"/>
      <c r="B18" s="26" t="s">
        <v>207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8" t="b">
        <v>0</v>
      </c>
      <c r="J18" s="38" t="b">
        <v>0</v>
      </c>
      <c r="K18" s="38" t="b">
        <v>0</v>
      </c>
      <c r="L18" s="38" t="b">
        <v>0</v>
      </c>
      <c r="M18" s="38" t="b">
        <v>0</v>
      </c>
      <c r="N18" s="38" t="b">
        <v>0</v>
      </c>
      <c r="O18" s="38" t="b">
        <v>0</v>
      </c>
      <c r="P18" s="38" t="b">
        <v>0</v>
      </c>
      <c r="Q18" s="38" t="b">
        <v>0</v>
      </c>
      <c r="R18" s="38" t="b">
        <v>0</v>
      </c>
    </row>
    <row r="19" spans="1:18" ht="18" customHeight="1">
      <c r="A19" s="98"/>
      <c r="B19" s="26" t="s">
        <v>218</v>
      </c>
      <c r="C19" s="38" t="b">
        <v>0</v>
      </c>
      <c r="D19" s="38" t="b">
        <v>0</v>
      </c>
      <c r="E19" s="38" t="b">
        <v>0</v>
      </c>
      <c r="F19" s="38" t="b">
        <v>0</v>
      </c>
      <c r="G19" s="38" t="b">
        <v>0</v>
      </c>
      <c r="H19" s="38" t="b">
        <v>0</v>
      </c>
      <c r="I19" s="38" t="b">
        <v>0</v>
      </c>
      <c r="J19" s="38" t="b">
        <v>0</v>
      </c>
      <c r="K19" s="38" t="b">
        <v>0</v>
      </c>
      <c r="L19" s="38" t="b">
        <v>0</v>
      </c>
      <c r="M19" s="38" t="b">
        <v>0</v>
      </c>
      <c r="N19" s="38" t="b">
        <v>0</v>
      </c>
      <c r="O19" s="38" t="b">
        <v>0</v>
      </c>
      <c r="P19" s="38" t="b">
        <v>0</v>
      </c>
      <c r="Q19" s="38" t="b">
        <v>0</v>
      </c>
      <c r="R19" s="38" t="b">
        <v>0</v>
      </c>
    </row>
    <row r="20" spans="1:18" ht="18" customHeight="1">
      <c r="A20" s="98"/>
      <c r="B20" s="26" t="s">
        <v>219</v>
      </c>
      <c r="C20" s="38" t="b">
        <v>0</v>
      </c>
      <c r="D20" s="38" t="b">
        <v>0</v>
      </c>
      <c r="E20" s="38" t="b">
        <v>0</v>
      </c>
      <c r="F20" s="38" t="b">
        <v>0</v>
      </c>
      <c r="G20" s="38" t="b">
        <v>0</v>
      </c>
      <c r="H20" s="38" t="b">
        <v>0</v>
      </c>
      <c r="I20" s="38" t="b">
        <v>0</v>
      </c>
      <c r="J20" s="38" t="b">
        <v>0</v>
      </c>
      <c r="K20" s="38" t="b">
        <v>0</v>
      </c>
      <c r="L20" s="38" t="b">
        <v>0</v>
      </c>
      <c r="M20" s="38" t="b">
        <v>0</v>
      </c>
      <c r="N20" s="38" t="b">
        <v>0</v>
      </c>
      <c r="O20" s="38" t="b">
        <v>0</v>
      </c>
      <c r="P20" s="38" t="b">
        <v>0</v>
      </c>
      <c r="Q20" s="38" t="b">
        <v>0</v>
      </c>
      <c r="R20" s="38" t="b">
        <v>0</v>
      </c>
    </row>
    <row r="21" spans="1:18" ht="18" customHeight="1">
      <c r="A21" s="99"/>
      <c r="B21" s="26" t="s">
        <v>138</v>
      </c>
      <c r="C21" s="38" t="b">
        <v>0</v>
      </c>
      <c r="D21" s="4"/>
      <c r="E21" s="4"/>
      <c r="F21" s="4"/>
      <c r="G21" s="4"/>
      <c r="H21" s="4"/>
      <c r="I21" s="38" t="b">
        <v>0</v>
      </c>
      <c r="J21" s="4"/>
      <c r="K21" s="4"/>
      <c r="L21" s="4"/>
      <c r="M21" s="4"/>
      <c r="N21" s="4"/>
      <c r="O21" s="38" t="b">
        <v>0</v>
      </c>
      <c r="P21" s="4"/>
      <c r="Q21" s="4"/>
      <c r="R21" s="4"/>
    </row>
    <row r="22" spans="1:18" ht="18" customHeight="1">
      <c r="A22" s="78" t="s">
        <v>225</v>
      </c>
      <c r="B22" s="26" t="s">
        <v>206</v>
      </c>
      <c r="C22" s="38" t="b">
        <v>0</v>
      </c>
      <c r="D22" s="38" t="b">
        <v>0</v>
      </c>
      <c r="E22" s="38" t="b">
        <v>0</v>
      </c>
      <c r="F22" s="38" t="b">
        <v>0</v>
      </c>
      <c r="G22" s="38" t="b">
        <v>0</v>
      </c>
      <c r="H22" s="38" t="b">
        <v>0</v>
      </c>
      <c r="I22" s="38" t="b">
        <v>0</v>
      </c>
      <c r="J22" s="38" t="b">
        <v>0</v>
      </c>
      <c r="K22" s="38" t="b">
        <v>0</v>
      </c>
      <c r="L22" s="38" t="b">
        <v>0</v>
      </c>
      <c r="M22" s="38" t="b">
        <v>0</v>
      </c>
      <c r="N22" s="38" t="b">
        <v>0</v>
      </c>
      <c r="O22" s="38" t="b">
        <v>0</v>
      </c>
      <c r="P22" s="38" t="b">
        <v>0</v>
      </c>
      <c r="Q22" s="38" t="b">
        <v>0</v>
      </c>
      <c r="R22" s="38" t="b">
        <v>0</v>
      </c>
    </row>
    <row r="23" spans="1:18" ht="18" customHeight="1">
      <c r="A23" s="79"/>
      <c r="B23" s="26" t="s">
        <v>122</v>
      </c>
      <c r="C23" s="38" t="b">
        <v>0</v>
      </c>
      <c r="D23" s="38" t="b">
        <v>0</v>
      </c>
      <c r="E23" s="38" t="b">
        <v>0</v>
      </c>
      <c r="F23" s="38" t="b">
        <v>0</v>
      </c>
      <c r="G23" s="38" t="b">
        <v>0</v>
      </c>
      <c r="H23" s="38" t="b">
        <v>0</v>
      </c>
      <c r="I23" s="38" t="b">
        <v>0</v>
      </c>
      <c r="J23" s="38" t="b">
        <v>0</v>
      </c>
      <c r="K23" s="38" t="b">
        <v>0</v>
      </c>
      <c r="L23" s="38" t="b">
        <v>0</v>
      </c>
      <c r="M23" s="38" t="b">
        <v>0</v>
      </c>
      <c r="N23" s="38" t="b">
        <v>0</v>
      </c>
      <c r="O23" s="38" t="b">
        <v>0</v>
      </c>
      <c r="P23" s="38" t="b">
        <v>0</v>
      </c>
      <c r="Q23" s="38" t="b">
        <v>0</v>
      </c>
      <c r="R23" s="38" t="b">
        <v>0</v>
      </c>
    </row>
    <row r="24" spans="1:18" ht="18" customHeight="1">
      <c r="A24" s="79"/>
      <c r="B24" s="26" t="s">
        <v>204</v>
      </c>
      <c r="C24" s="38" t="b">
        <v>0</v>
      </c>
      <c r="D24" s="38" t="b">
        <v>0</v>
      </c>
      <c r="E24" s="38" t="b">
        <v>0</v>
      </c>
      <c r="F24" s="38" t="b">
        <v>0</v>
      </c>
      <c r="G24" s="38" t="b">
        <v>0</v>
      </c>
      <c r="H24" s="38" t="b">
        <v>0</v>
      </c>
      <c r="I24" s="38" t="b">
        <v>0</v>
      </c>
      <c r="J24" s="38" t="b">
        <v>0</v>
      </c>
      <c r="K24" s="38" t="b">
        <v>0</v>
      </c>
      <c r="L24" s="38" t="b">
        <v>0</v>
      </c>
      <c r="M24" s="38" t="b">
        <v>0</v>
      </c>
      <c r="N24" s="38" t="b">
        <v>0</v>
      </c>
      <c r="O24" s="38" t="b">
        <v>0</v>
      </c>
      <c r="P24" s="38" t="b">
        <v>0</v>
      </c>
      <c r="Q24" s="38" t="b">
        <v>0</v>
      </c>
      <c r="R24" s="38" t="b">
        <v>0</v>
      </c>
    </row>
    <row r="25" spans="1:18" ht="18" customHeight="1">
      <c r="A25" s="80"/>
      <c r="B25" s="26" t="s">
        <v>205</v>
      </c>
      <c r="C25" s="38" t="b">
        <v>0</v>
      </c>
      <c r="D25" s="38" t="b">
        <v>0</v>
      </c>
      <c r="E25" s="38" t="b">
        <v>0</v>
      </c>
      <c r="F25" s="38" t="b">
        <v>0</v>
      </c>
      <c r="G25" s="38" t="b">
        <v>0</v>
      </c>
      <c r="H25" s="38" t="b">
        <v>0</v>
      </c>
      <c r="I25" s="38" t="b">
        <v>0</v>
      </c>
      <c r="J25" s="38" t="b">
        <v>0</v>
      </c>
      <c r="K25" s="38" t="b">
        <v>0</v>
      </c>
      <c r="L25" s="38" t="b">
        <v>0</v>
      </c>
      <c r="M25" s="38" t="b">
        <v>0</v>
      </c>
      <c r="N25" s="38" t="b">
        <v>0</v>
      </c>
      <c r="O25" s="38" t="b">
        <v>0</v>
      </c>
      <c r="P25" s="38" t="b">
        <v>0</v>
      </c>
      <c r="Q25" s="38" t="b">
        <v>0</v>
      </c>
      <c r="R25" s="38" t="b">
        <v>0</v>
      </c>
    </row>
    <row r="26" spans="1:18" ht="18" customHeight="1">
      <c r="A26" s="6" t="s">
        <v>239</v>
      </c>
      <c r="B26" s="9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ht="18" customHeight="1">
      <c r="A27" s="37"/>
      <c r="B27" s="9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ht="18" customHeight="1">
      <c r="A28" s="37"/>
      <c r="B28" s="9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ht="18" customHeight="1">
      <c r="A29" s="90" t="s">
        <v>45</v>
      </c>
      <c r="B29" s="90"/>
      <c r="C29" s="93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</row>
    <row r="30" spans="1:18" ht="18" customHeight="1">
      <c r="A30" s="91"/>
      <c r="B30" s="91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</row>
    <row r="31" spans="1:18" ht="18" customHeight="1">
      <c r="A31" s="91"/>
      <c r="B31" s="91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</row>
    <row r="32" spans="1:18" ht="18" customHeight="1">
      <c r="A32" s="91"/>
      <c r="B32" s="91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</row>
    <row r="33" spans="1:18" ht="18" customHeight="1">
      <c r="A33" s="91"/>
      <c r="B33" s="91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</row>
    <row r="34" spans="1:18" ht="18" customHeight="1">
      <c r="A34" s="91"/>
      <c r="B34" s="91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</row>
    <row r="35" spans="1:18" ht="18" customHeight="1">
      <c r="A35" s="92"/>
      <c r="B35" s="92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</row>
    <row r="36" spans="1:18" ht="18" customHeight="1">
      <c r="A36" s="81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3"/>
    </row>
    <row r="37" spans="1:18" ht="14.45" customHeight="1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6"/>
    </row>
    <row r="38" spans="1:18">
      <c r="A38" s="84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6"/>
    </row>
    <row r="39" spans="1:18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6"/>
    </row>
    <row r="40" spans="1:18">
      <c r="A40" s="84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6"/>
    </row>
    <row r="41" spans="1:18">
      <c r="A41" s="84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6"/>
    </row>
    <row r="42" spans="1:18">
      <c r="A42" s="84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6"/>
    </row>
    <row r="43" spans="1:18">
      <c r="A43" s="84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6"/>
    </row>
    <row r="44" spans="1:18">
      <c r="A44" s="84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6"/>
    </row>
    <row r="45" spans="1:18">
      <c r="A45" s="84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6"/>
    </row>
    <row r="46" spans="1:18">
      <c r="A46" s="84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6"/>
    </row>
    <row r="47" spans="1:18">
      <c r="A47" s="84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6"/>
    </row>
    <row r="48" spans="1:18">
      <c r="A48" s="84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6"/>
    </row>
    <row r="49" spans="1:18">
      <c r="A49" s="84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6"/>
    </row>
    <row r="50" spans="1:18">
      <c r="A50" s="84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6"/>
    </row>
    <row r="51" spans="1:18">
      <c r="A51" s="84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6"/>
    </row>
    <row r="52" spans="1:18">
      <c r="A52" s="84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6"/>
    </row>
    <row r="53" spans="1:18">
      <c r="A53" s="84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6"/>
    </row>
    <row r="54" spans="1:18">
      <c r="A54" s="84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6"/>
    </row>
    <row r="55" spans="1:18">
      <c r="A55" s="87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9"/>
    </row>
  </sheetData>
  <mergeCells count="10">
    <mergeCell ref="A22:A25"/>
    <mergeCell ref="A29:B35"/>
    <mergeCell ref="C29:R35"/>
    <mergeCell ref="A36:R55"/>
    <mergeCell ref="A1:R1"/>
    <mergeCell ref="C2:R3"/>
    <mergeCell ref="A4:B4"/>
    <mergeCell ref="C4:R4"/>
    <mergeCell ref="A8:A16"/>
    <mergeCell ref="A17:A21"/>
  </mergeCells>
  <pageMargins left="0" right="0" top="0.3" bottom="0.3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12CE-176E-41CA-96CA-6960E8FEAEE0}">
  <sheetPr codeName="Sheet5"/>
  <dimension ref="B1:W85"/>
  <sheetViews>
    <sheetView zoomScale="115" zoomScaleNormal="115" workbookViewId="0">
      <selection activeCell="D71" sqref="D71"/>
    </sheetView>
  </sheetViews>
  <sheetFormatPr defaultColWidth="8.7109375" defaultRowHeight="12"/>
  <cols>
    <col min="1" max="1" width="1.7109375" style="18" customWidth="1"/>
    <col min="2" max="3" width="12.7109375" style="17" customWidth="1"/>
    <col min="4" max="4" width="34.140625" style="17" bestFit="1" customWidth="1"/>
    <col min="5" max="5" width="10.85546875" style="17" bestFit="1" customWidth="1"/>
    <col min="6" max="6" width="10.5703125" style="17" bestFit="1" customWidth="1"/>
    <col min="7" max="7" width="30" style="17" customWidth="1"/>
    <col min="8" max="19" width="7" style="17" customWidth="1"/>
    <col min="20" max="21" width="12.85546875" style="17" customWidth="1"/>
    <col min="22" max="22" width="58.28515625" style="17" bestFit="1" customWidth="1"/>
    <col min="23" max="23" width="18.28515625" style="17" bestFit="1" customWidth="1"/>
    <col min="24" max="16384" width="8.7109375" style="18"/>
  </cols>
  <sheetData>
    <row r="1" spans="2:21" ht="6" customHeight="1"/>
    <row r="2" spans="2:21">
      <c r="E2" s="17" t="s">
        <v>119</v>
      </c>
      <c r="F2" s="17" t="s">
        <v>0</v>
      </c>
    </row>
    <row r="3" spans="2:21" ht="24">
      <c r="B3" s="19" t="s">
        <v>1</v>
      </c>
      <c r="C3" s="19" t="s">
        <v>2</v>
      </c>
      <c r="D3" s="19" t="s">
        <v>3</v>
      </c>
      <c r="E3" s="29" t="s">
        <v>164</v>
      </c>
      <c r="F3" s="29" t="s">
        <v>164</v>
      </c>
      <c r="G3" s="19" t="s">
        <v>151</v>
      </c>
      <c r="H3" s="19" t="s">
        <v>152</v>
      </c>
      <c r="I3" s="19" t="s">
        <v>153</v>
      </c>
      <c r="J3" s="19" t="s">
        <v>154</v>
      </c>
      <c r="K3" s="19" t="s">
        <v>155</v>
      </c>
      <c r="L3" s="19" t="s">
        <v>156</v>
      </c>
      <c r="M3" s="19" t="s">
        <v>157</v>
      </c>
      <c r="N3" s="19" t="s">
        <v>158</v>
      </c>
      <c r="O3" s="19" t="s">
        <v>159</v>
      </c>
      <c r="P3" s="19" t="s">
        <v>160</v>
      </c>
      <c r="Q3" s="19" t="s">
        <v>161</v>
      </c>
      <c r="R3" s="19" t="s">
        <v>162</v>
      </c>
      <c r="S3" s="19" t="s">
        <v>163</v>
      </c>
    </row>
    <row r="4" spans="2:21">
      <c r="B4" s="20" t="s">
        <v>101</v>
      </c>
      <c r="C4" s="20" t="s">
        <v>4</v>
      </c>
      <c r="D4" s="20" t="s">
        <v>102</v>
      </c>
      <c r="E4" s="19">
        <v>1</v>
      </c>
      <c r="F4" s="19">
        <v>3</v>
      </c>
      <c r="G4" s="20"/>
      <c r="H4" s="19" t="s">
        <v>9</v>
      </c>
      <c r="I4" s="19"/>
      <c r="J4" s="19"/>
      <c r="K4" s="19" t="s">
        <v>9</v>
      </c>
      <c r="L4" s="19"/>
      <c r="M4" s="19"/>
      <c r="N4" s="19" t="s">
        <v>9</v>
      </c>
      <c r="O4" s="19"/>
      <c r="P4" s="19"/>
      <c r="Q4" s="19" t="s">
        <v>9</v>
      </c>
      <c r="R4" s="19"/>
      <c r="S4" s="19"/>
      <c r="T4" s="27"/>
      <c r="U4" s="27"/>
    </row>
    <row r="5" spans="2:21">
      <c r="B5" s="20"/>
      <c r="C5" s="20"/>
      <c r="D5" s="20"/>
      <c r="E5" s="19"/>
      <c r="F5" s="19"/>
      <c r="G5" s="20"/>
      <c r="H5" s="33">
        <v>45866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7"/>
      <c r="U5" s="27"/>
    </row>
    <row r="6" spans="2:21">
      <c r="B6" s="20"/>
      <c r="C6" s="20"/>
      <c r="D6" s="20" t="s">
        <v>118</v>
      </c>
      <c r="E6" s="19">
        <v>6</v>
      </c>
      <c r="F6" s="19">
        <v>6</v>
      </c>
      <c r="G6" s="20"/>
      <c r="H6" s="19" t="s">
        <v>9</v>
      </c>
      <c r="I6" s="20"/>
      <c r="J6" s="20"/>
      <c r="K6" s="20"/>
      <c r="L6" s="20"/>
      <c r="M6" s="20"/>
      <c r="N6" s="19" t="s">
        <v>9</v>
      </c>
      <c r="O6" s="20"/>
      <c r="P6" s="20"/>
      <c r="Q6" s="20"/>
      <c r="R6" s="20"/>
      <c r="S6" s="20"/>
      <c r="T6" s="27"/>
      <c r="U6" s="27"/>
    </row>
    <row r="7" spans="2:21">
      <c r="B7" s="20"/>
      <c r="C7" s="20"/>
      <c r="D7" s="20"/>
      <c r="E7" s="19"/>
      <c r="F7" s="19"/>
      <c r="G7" s="20"/>
      <c r="H7" s="19"/>
      <c r="I7" s="20"/>
      <c r="J7" s="20"/>
      <c r="K7" s="20"/>
      <c r="L7" s="20"/>
      <c r="M7" s="20"/>
      <c r="N7" s="19"/>
      <c r="O7" s="20"/>
      <c r="P7" s="20"/>
      <c r="Q7" s="20"/>
      <c r="R7" s="20"/>
      <c r="S7" s="20"/>
      <c r="T7" s="27"/>
      <c r="U7" s="27"/>
    </row>
    <row r="8" spans="2:21">
      <c r="B8" s="20"/>
      <c r="C8" s="20"/>
      <c r="D8" s="20" t="s">
        <v>117</v>
      </c>
      <c r="E8" s="19">
        <v>12</v>
      </c>
      <c r="F8" s="19">
        <v>12</v>
      </c>
      <c r="G8" s="20"/>
      <c r="H8" s="33">
        <v>45866</v>
      </c>
      <c r="I8" s="20"/>
      <c r="J8" s="20"/>
      <c r="K8" s="20"/>
      <c r="L8" s="20"/>
      <c r="M8" s="20"/>
      <c r="N8" s="20"/>
      <c r="O8" s="20"/>
      <c r="P8" s="19" t="s">
        <v>9</v>
      </c>
      <c r="Q8" s="20"/>
      <c r="R8" s="20"/>
      <c r="S8" s="20"/>
      <c r="T8" s="27"/>
      <c r="U8" s="27"/>
    </row>
    <row r="9" spans="2:21">
      <c r="B9" s="20"/>
      <c r="C9" s="20"/>
      <c r="D9" s="20"/>
      <c r="E9" s="19"/>
      <c r="F9" s="19"/>
      <c r="G9" s="20"/>
      <c r="H9" s="33"/>
      <c r="I9" s="20"/>
      <c r="J9" s="20"/>
      <c r="K9" s="20"/>
      <c r="L9" s="20"/>
      <c r="M9" s="20"/>
      <c r="N9" s="20"/>
      <c r="O9" s="20"/>
      <c r="P9" s="19"/>
      <c r="Q9" s="20"/>
      <c r="R9" s="20"/>
      <c r="S9" s="20"/>
      <c r="T9" s="27"/>
      <c r="U9" s="27"/>
    </row>
    <row r="10" spans="2:21">
      <c r="B10" s="20"/>
      <c r="C10" s="20" t="s">
        <v>6</v>
      </c>
      <c r="D10" s="20" t="s">
        <v>103</v>
      </c>
      <c r="E10" s="19">
        <v>12</v>
      </c>
      <c r="F10" s="19">
        <v>12</v>
      </c>
      <c r="G10" s="20" t="s">
        <v>104</v>
      </c>
      <c r="H10" s="19"/>
      <c r="I10" s="20"/>
      <c r="J10" s="20"/>
      <c r="K10" s="20"/>
      <c r="L10" s="20"/>
      <c r="M10" s="20"/>
      <c r="N10" s="20"/>
      <c r="O10" s="20"/>
      <c r="P10" s="20"/>
      <c r="Q10" s="19" t="s">
        <v>9</v>
      </c>
      <c r="R10" s="19"/>
      <c r="S10" s="20"/>
      <c r="T10" s="27"/>
      <c r="U10" s="27"/>
    </row>
    <row r="11" spans="2:21">
      <c r="B11" s="20"/>
      <c r="C11" s="20"/>
      <c r="D11" s="20"/>
      <c r="E11" s="19"/>
      <c r="F11" s="19"/>
      <c r="G11" s="20"/>
      <c r="H11" s="19"/>
      <c r="I11" s="20"/>
      <c r="J11" s="20"/>
      <c r="K11" s="20"/>
      <c r="L11" s="20"/>
      <c r="M11" s="20"/>
      <c r="N11" s="20"/>
      <c r="O11" s="20"/>
      <c r="P11" s="20"/>
      <c r="Q11" s="19"/>
      <c r="R11" s="19"/>
      <c r="S11" s="20"/>
      <c r="T11" s="27"/>
      <c r="U11" s="27"/>
    </row>
    <row r="12" spans="2:21">
      <c r="B12" s="20"/>
      <c r="C12" s="20"/>
      <c r="D12" s="20" t="s">
        <v>105</v>
      </c>
      <c r="E12" s="19">
        <v>3</v>
      </c>
      <c r="F12" s="19">
        <v>3</v>
      </c>
      <c r="G12" s="20"/>
      <c r="H12" s="19" t="s">
        <v>9</v>
      </c>
      <c r="I12" s="19"/>
      <c r="J12" s="19"/>
      <c r="K12" s="19" t="s">
        <v>9</v>
      </c>
      <c r="L12" s="19"/>
      <c r="M12" s="19"/>
      <c r="N12" s="19" t="s">
        <v>9</v>
      </c>
      <c r="O12" s="19"/>
      <c r="P12" s="19"/>
      <c r="Q12" s="19" t="s">
        <v>9</v>
      </c>
      <c r="R12" s="19"/>
      <c r="S12" s="19"/>
      <c r="T12" s="27"/>
      <c r="U12" s="27"/>
    </row>
    <row r="13" spans="2:21">
      <c r="B13" s="20"/>
      <c r="C13" s="20"/>
      <c r="D13" s="20"/>
      <c r="E13" s="19"/>
      <c r="F13" s="19"/>
      <c r="G13" s="20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27"/>
      <c r="U13" s="27"/>
    </row>
    <row r="14" spans="2:21">
      <c r="B14" s="20"/>
      <c r="C14" s="20"/>
      <c r="D14" s="20" t="s">
        <v>106</v>
      </c>
      <c r="E14" s="19">
        <v>3</v>
      </c>
      <c r="F14" s="28">
        <v>6</v>
      </c>
      <c r="G14" s="20"/>
      <c r="H14" s="33">
        <v>45866</v>
      </c>
      <c r="I14" s="20"/>
      <c r="J14" s="20"/>
      <c r="K14" s="20"/>
      <c r="L14" s="20"/>
      <c r="M14" s="19" t="s">
        <v>9</v>
      </c>
      <c r="N14" s="19"/>
      <c r="O14" s="20"/>
      <c r="P14" s="20"/>
      <c r="Q14" s="20"/>
      <c r="R14" s="20"/>
      <c r="S14" s="19" t="s">
        <v>9</v>
      </c>
      <c r="T14" s="27"/>
      <c r="U14" s="27"/>
    </row>
    <row r="15" spans="2:21">
      <c r="B15" s="20"/>
      <c r="C15" s="20"/>
      <c r="D15" s="20"/>
      <c r="E15" s="19"/>
      <c r="F15" s="28"/>
      <c r="G15" s="20"/>
      <c r="H15" s="33"/>
      <c r="I15" s="20"/>
      <c r="J15" s="20"/>
      <c r="K15" s="20"/>
      <c r="L15" s="20"/>
      <c r="M15" s="19"/>
      <c r="N15" s="19"/>
      <c r="O15" s="20"/>
      <c r="P15" s="20"/>
      <c r="Q15" s="20"/>
      <c r="R15" s="20"/>
      <c r="S15" s="19"/>
      <c r="T15" s="27"/>
      <c r="U15" s="27"/>
    </row>
    <row r="16" spans="2:21">
      <c r="B16" s="20"/>
      <c r="C16" s="20"/>
      <c r="D16" s="20" t="s">
        <v>107</v>
      </c>
      <c r="E16" s="19">
        <v>12</v>
      </c>
      <c r="F16" s="28">
        <v>12</v>
      </c>
      <c r="G16" s="20" t="s">
        <v>114</v>
      </c>
      <c r="H16" s="20"/>
      <c r="I16" s="20"/>
      <c r="J16" s="20"/>
      <c r="K16" s="20"/>
      <c r="L16" s="20"/>
      <c r="M16" s="20"/>
      <c r="N16" s="20"/>
      <c r="O16" s="20"/>
      <c r="P16" s="19" t="s">
        <v>9</v>
      </c>
      <c r="Q16" s="20"/>
      <c r="R16" s="20"/>
      <c r="S16" s="20"/>
      <c r="T16" s="27"/>
      <c r="U16" s="27"/>
    </row>
    <row r="17" spans="2:21">
      <c r="B17" s="20"/>
      <c r="C17" s="20"/>
      <c r="D17" s="20"/>
      <c r="E17" s="19"/>
      <c r="F17" s="28"/>
      <c r="G17" s="20"/>
      <c r="H17" s="20"/>
      <c r="I17" s="20"/>
      <c r="J17" s="20"/>
      <c r="K17" s="20"/>
      <c r="L17" s="20"/>
      <c r="M17" s="20"/>
      <c r="N17" s="20"/>
      <c r="O17" s="20"/>
      <c r="P17" s="19"/>
      <c r="Q17" s="20"/>
      <c r="R17" s="20"/>
      <c r="S17" s="20"/>
      <c r="T17" s="27"/>
      <c r="U17" s="27"/>
    </row>
    <row r="18" spans="2:21">
      <c r="B18" s="20"/>
      <c r="C18" s="20"/>
      <c r="D18" s="20" t="s">
        <v>108</v>
      </c>
      <c r="E18" s="19">
        <v>12</v>
      </c>
      <c r="F18" s="28">
        <v>12</v>
      </c>
      <c r="G18" s="20"/>
      <c r="H18" s="30"/>
      <c r="I18" s="20"/>
      <c r="J18" s="20"/>
      <c r="K18" s="20"/>
      <c r="L18" s="20"/>
      <c r="M18" s="20"/>
      <c r="N18" s="20"/>
      <c r="O18" s="20"/>
      <c r="P18" s="19" t="s">
        <v>9</v>
      </c>
      <c r="Q18" s="20"/>
      <c r="R18" s="20"/>
      <c r="S18" s="20"/>
      <c r="T18" s="27"/>
      <c r="U18" s="27"/>
    </row>
    <row r="19" spans="2:21">
      <c r="B19" s="20"/>
      <c r="C19" s="20"/>
      <c r="D19" s="20"/>
      <c r="E19" s="19"/>
      <c r="F19" s="28"/>
      <c r="G19" s="20"/>
      <c r="H19" s="30"/>
      <c r="I19" s="20"/>
      <c r="J19" s="20"/>
      <c r="K19" s="20"/>
      <c r="L19" s="20"/>
      <c r="M19" s="20"/>
      <c r="N19" s="20"/>
      <c r="O19" s="20"/>
      <c r="P19" s="19"/>
      <c r="Q19" s="20"/>
      <c r="R19" s="20"/>
      <c r="S19" s="20"/>
      <c r="T19" s="27"/>
      <c r="U19" s="27"/>
    </row>
    <row r="20" spans="2:21">
      <c r="B20" s="20"/>
      <c r="C20" s="20"/>
      <c r="D20" s="20" t="s">
        <v>109</v>
      </c>
      <c r="E20" s="19">
        <v>12</v>
      </c>
      <c r="F20" s="28">
        <v>12</v>
      </c>
      <c r="G20" s="20" t="s">
        <v>116</v>
      </c>
      <c r="H20" s="20"/>
      <c r="I20" s="20"/>
      <c r="J20" s="20"/>
      <c r="K20" s="20"/>
      <c r="L20" s="20"/>
      <c r="M20" s="20"/>
      <c r="N20" s="20"/>
      <c r="O20" s="20"/>
      <c r="P20" s="19" t="s">
        <v>9</v>
      </c>
      <c r="Q20" s="20"/>
      <c r="R20" s="20"/>
      <c r="S20" s="20"/>
      <c r="T20" s="27"/>
      <c r="U20" s="27"/>
    </row>
    <row r="21" spans="2:21">
      <c r="B21" s="20"/>
      <c r="C21" s="20"/>
      <c r="D21" s="20"/>
      <c r="E21" s="19"/>
      <c r="F21" s="28"/>
      <c r="G21" s="20"/>
      <c r="H21" s="20"/>
      <c r="I21" s="20"/>
      <c r="J21" s="20"/>
      <c r="K21" s="20"/>
      <c r="L21" s="20"/>
      <c r="M21" s="20"/>
      <c r="N21" s="20"/>
      <c r="O21" s="20"/>
      <c r="P21" s="19"/>
      <c r="Q21" s="20"/>
      <c r="R21" s="20"/>
      <c r="S21" s="20"/>
      <c r="T21" s="27"/>
      <c r="U21" s="27"/>
    </row>
    <row r="22" spans="2:21">
      <c r="B22" s="20"/>
      <c r="C22" s="20"/>
      <c r="D22" s="20" t="s">
        <v>110</v>
      </c>
      <c r="E22" s="19">
        <v>12</v>
      </c>
      <c r="F22" s="28">
        <v>12</v>
      </c>
      <c r="G22" s="20"/>
      <c r="H22" s="20"/>
      <c r="I22" s="20"/>
      <c r="J22" s="20"/>
      <c r="K22" s="20"/>
      <c r="L22" s="20"/>
      <c r="M22" s="20"/>
      <c r="N22" s="20"/>
      <c r="O22" s="20"/>
      <c r="P22" s="19" t="s">
        <v>9</v>
      </c>
      <c r="Q22" s="20"/>
      <c r="R22" s="20"/>
      <c r="S22" s="20"/>
      <c r="T22" s="27"/>
      <c r="U22" s="27"/>
    </row>
    <row r="23" spans="2:21">
      <c r="B23" s="20"/>
      <c r="C23" s="20"/>
      <c r="D23" s="20"/>
      <c r="E23" s="19"/>
      <c r="F23" s="28"/>
      <c r="G23" s="20"/>
      <c r="H23" s="20"/>
      <c r="I23" s="20"/>
      <c r="J23" s="20"/>
      <c r="K23" s="20"/>
      <c r="L23" s="20"/>
      <c r="M23" s="20"/>
      <c r="N23" s="20"/>
      <c r="O23" s="20"/>
      <c r="P23" s="19"/>
      <c r="Q23" s="20"/>
      <c r="R23" s="20"/>
      <c r="S23" s="20"/>
      <c r="T23" s="27"/>
      <c r="U23" s="27"/>
    </row>
    <row r="24" spans="2:21">
      <c r="B24" s="20"/>
      <c r="C24" s="20"/>
      <c r="D24" s="20" t="s">
        <v>111</v>
      </c>
      <c r="E24" s="19">
        <v>12</v>
      </c>
      <c r="F24" s="28">
        <v>12</v>
      </c>
      <c r="G24" s="20"/>
      <c r="H24" s="20"/>
      <c r="I24" s="20"/>
      <c r="J24" s="20"/>
      <c r="K24" s="20"/>
      <c r="L24" s="20"/>
      <c r="M24" s="20"/>
      <c r="N24" s="20"/>
      <c r="O24" s="20"/>
      <c r="P24" s="19" t="s">
        <v>9</v>
      </c>
      <c r="Q24" s="20"/>
      <c r="R24" s="20"/>
      <c r="S24" s="20"/>
      <c r="T24" s="27"/>
      <c r="U24" s="27"/>
    </row>
    <row r="25" spans="2:21">
      <c r="B25" s="20"/>
      <c r="C25" s="20"/>
      <c r="D25" s="20"/>
      <c r="E25" s="19"/>
      <c r="F25" s="28"/>
      <c r="G25" s="20"/>
      <c r="H25" s="20"/>
      <c r="I25" s="20"/>
      <c r="J25" s="20"/>
      <c r="K25" s="20"/>
      <c r="L25" s="20"/>
      <c r="M25" s="20"/>
      <c r="N25" s="20"/>
      <c r="O25" s="20"/>
      <c r="P25" s="19"/>
      <c r="Q25" s="20"/>
      <c r="R25" s="20"/>
      <c r="S25" s="20"/>
      <c r="T25" s="27"/>
      <c r="U25" s="27"/>
    </row>
    <row r="26" spans="2:21">
      <c r="B26" s="20"/>
      <c r="C26" s="20"/>
      <c r="D26" s="20" t="s">
        <v>112</v>
      </c>
      <c r="E26" s="19">
        <v>12</v>
      </c>
      <c r="F26" s="28">
        <v>12</v>
      </c>
      <c r="G26" s="20" t="s">
        <v>113</v>
      </c>
      <c r="H26" s="20"/>
      <c r="I26" s="20"/>
      <c r="J26" s="20"/>
      <c r="K26" s="20"/>
      <c r="L26" s="20"/>
      <c r="M26" s="20"/>
      <c r="N26" s="20"/>
      <c r="O26" s="20"/>
      <c r="P26" s="19" t="s">
        <v>9</v>
      </c>
      <c r="Q26" s="20"/>
      <c r="R26" s="20"/>
      <c r="S26" s="20"/>
      <c r="T26" s="27"/>
      <c r="U26" s="27"/>
    </row>
    <row r="27" spans="2:21">
      <c r="B27" s="20"/>
      <c r="C27" s="20"/>
      <c r="D27" s="20"/>
      <c r="E27" s="19"/>
      <c r="F27" s="28"/>
      <c r="G27" s="20"/>
      <c r="H27" s="20"/>
      <c r="I27" s="20"/>
      <c r="J27" s="20"/>
      <c r="K27" s="20"/>
      <c r="L27" s="20"/>
      <c r="M27" s="20"/>
      <c r="N27" s="20"/>
      <c r="O27" s="20"/>
      <c r="P27" s="19"/>
      <c r="Q27" s="20"/>
      <c r="R27" s="20"/>
      <c r="S27" s="20"/>
      <c r="T27" s="27"/>
      <c r="U27" s="27"/>
    </row>
    <row r="28" spans="2:21">
      <c r="B28" s="20"/>
      <c r="C28" s="20"/>
      <c r="D28" s="20" t="s">
        <v>115</v>
      </c>
      <c r="E28" s="19">
        <v>3</v>
      </c>
      <c r="F28" s="28">
        <v>3</v>
      </c>
      <c r="G28" s="20"/>
      <c r="H28" s="20"/>
      <c r="I28" s="20"/>
      <c r="J28" s="20"/>
      <c r="K28" s="20"/>
      <c r="L28" s="20"/>
      <c r="M28" s="20"/>
      <c r="N28" s="20"/>
      <c r="O28" s="20"/>
      <c r="P28" s="19" t="s">
        <v>9</v>
      </c>
      <c r="Q28" s="20"/>
      <c r="R28" s="20"/>
      <c r="S28" s="20"/>
      <c r="T28" s="27"/>
      <c r="U28" s="27"/>
    </row>
    <row r="29" spans="2:21">
      <c r="B29" s="20"/>
      <c r="C29" s="20"/>
      <c r="D29" s="20"/>
      <c r="E29" s="19"/>
      <c r="F29" s="28"/>
      <c r="G29" s="20"/>
      <c r="H29" s="20"/>
      <c r="I29" s="20"/>
      <c r="J29" s="20"/>
      <c r="K29" s="20"/>
      <c r="L29" s="20"/>
      <c r="M29" s="20"/>
      <c r="N29" s="20"/>
      <c r="O29" s="20"/>
      <c r="P29" s="19"/>
      <c r="Q29" s="20"/>
      <c r="R29" s="20"/>
      <c r="S29" s="20"/>
      <c r="T29" s="27"/>
      <c r="U29" s="27"/>
    </row>
    <row r="30" spans="2:21">
      <c r="B30" s="20" t="s">
        <v>120</v>
      </c>
      <c r="C30" s="20" t="s">
        <v>8</v>
      </c>
      <c r="D30" s="20" t="s">
        <v>123</v>
      </c>
      <c r="E30" s="19">
        <v>1</v>
      </c>
      <c r="F30" s="19">
        <v>1</v>
      </c>
      <c r="G30" s="20"/>
      <c r="H30" s="19"/>
      <c r="I30" s="19"/>
      <c r="J30" s="19"/>
      <c r="K30" s="19" t="s">
        <v>9</v>
      </c>
      <c r="L30" s="19" t="s">
        <v>9</v>
      </c>
      <c r="M30" s="19" t="s">
        <v>9</v>
      </c>
      <c r="N30" s="19" t="s">
        <v>9</v>
      </c>
      <c r="O30" s="19" t="s">
        <v>9</v>
      </c>
      <c r="P30" s="19" t="s">
        <v>9</v>
      </c>
      <c r="Q30" s="19" t="s">
        <v>9</v>
      </c>
      <c r="R30" s="19" t="s">
        <v>9</v>
      </c>
      <c r="S30" s="19" t="s">
        <v>9</v>
      </c>
      <c r="T30" s="27"/>
      <c r="U30" s="27"/>
    </row>
    <row r="31" spans="2:21">
      <c r="B31" s="20"/>
      <c r="C31" s="20"/>
      <c r="D31" s="20"/>
      <c r="E31" s="19"/>
      <c r="F31" s="19"/>
      <c r="G31" s="20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27"/>
      <c r="U31" s="27"/>
    </row>
    <row r="32" spans="2:21">
      <c r="B32" s="20" t="s">
        <v>100</v>
      </c>
      <c r="C32" s="20" t="s">
        <v>6</v>
      </c>
      <c r="D32" s="20" t="s">
        <v>121</v>
      </c>
      <c r="E32" s="19">
        <v>3</v>
      </c>
      <c r="F32" s="19">
        <v>3</v>
      </c>
      <c r="G32" s="20"/>
      <c r="H32" s="20"/>
      <c r="I32" s="20"/>
      <c r="J32" s="20"/>
      <c r="K32" s="20"/>
      <c r="L32" s="19" t="s">
        <v>9</v>
      </c>
      <c r="M32" s="20"/>
      <c r="N32" s="20"/>
      <c r="O32" s="19" t="s">
        <v>9</v>
      </c>
      <c r="P32" s="20"/>
      <c r="Q32" s="20"/>
      <c r="R32" s="19" t="s">
        <v>9</v>
      </c>
      <c r="S32" s="20"/>
      <c r="T32" s="27"/>
      <c r="U32" s="27"/>
    </row>
    <row r="33" spans="2:21">
      <c r="B33" s="20"/>
      <c r="C33" s="20"/>
      <c r="D33" s="20"/>
      <c r="E33" s="19"/>
      <c r="F33" s="19"/>
      <c r="G33" s="20"/>
      <c r="H33" s="20"/>
      <c r="I33" s="20"/>
      <c r="J33" s="20"/>
      <c r="K33" s="20"/>
      <c r="L33" s="19"/>
      <c r="M33" s="20"/>
      <c r="N33" s="20"/>
      <c r="O33" s="19"/>
      <c r="P33" s="20"/>
      <c r="Q33" s="20"/>
      <c r="R33" s="19"/>
      <c r="S33" s="20"/>
      <c r="T33" s="27"/>
      <c r="U33" s="27"/>
    </row>
    <row r="34" spans="2:21">
      <c r="B34" s="20"/>
      <c r="C34" s="20"/>
      <c r="D34" s="20" t="s">
        <v>122</v>
      </c>
      <c r="E34" s="19">
        <v>3</v>
      </c>
      <c r="F34" s="19">
        <v>3</v>
      </c>
      <c r="G34" s="20"/>
      <c r="H34" s="20"/>
      <c r="I34" s="20"/>
      <c r="J34" s="20"/>
      <c r="K34" s="20"/>
      <c r="L34" s="19" t="s">
        <v>9</v>
      </c>
      <c r="M34" s="20"/>
      <c r="N34" s="20"/>
      <c r="O34" s="19" t="s">
        <v>9</v>
      </c>
      <c r="P34" s="20"/>
      <c r="Q34" s="20"/>
      <c r="R34" s="19" t="s">
        <v>9</v>
      </c>
      <c r="S34" s="20"/>
      <c r="T34" s="27"/>
      <c r="U34" s="27"/>
    </row>
    <row r="35" spans="2:21">
      <c r="B35" s="20"/>
      <c r="C35" s="20"/>
      <c r="D35" s="20"/>
      <c r="E35" s="19"/>
      <c r="F35" s="19"/>
      <c r="G35" s="20"/>
      <c r="H35" s="20"/>
      <c r="I35" s="20"/>
      <c r="J35" s="20"/>
      <c r="K35" s="20"/>
      <c r="L35" s="19"/>
      <c r="M35" s="20"/>
      <c r="N35" s="20"/>
      <c r="O35" s="19"/>
      <c r="P35" s="20"/>
      <c r="Q35" s="20"/>
      <c r="R35" s="19"/>
      <c r="S35" s="20"/>
      <c r="T35" s="27"/>
      <c r="U35" s="27"/>
    </row>
    <row r="36" spans="2:21">
      <c r="B36" s="20"/>
      <c r="C36" s="20"/>
      <c r="D36" s="20" t="s">
        <v>125</v>
      </c>
      <c r="E36" s="19">
        <v>3</v>
      </c>
      <c r="F36" s="19">
        <v>3</v>
      </c>
      <c r="G36" s="20"/>
      <c r="H36" s="20"/>
      <c r="I36" s="20"/>
      <c r="J36" s="20"/>
      <c r="K36" s="20"/>
      <c r="L36" s="19" t="s">
        <v>9</v>
      </c>
      <c r="M36" s="20"/>
      <c r="N36" s="20"/>
      <c r="O36" s="19" t="s">
        <v>9</v>
      </c>
      <c r="P36" s="20"/>
      <c r="Q36" s="20"/>
      <c r="R36" s="19" t="s">
        <v>9</v>
      </c>
      <c r="S36" s="20"/>
      <c r="T36" s="27"/>
      <c r="U36" s="27"/>
    </row>
    <row r="37" spans="2:21">
      <c r="B37" s="20"/>
      <c r="C37" s="20"/>
      <c r="D37" s="20"/>
      <c r="E37" s="19"/>
      <c r="F37" s="19"/>
      <c r="G37" s="20"/>
      <c r="H37" s="20"/>
      <c r="I37" s="20"/>
      <c r="J37" s="20"/>
      <c r="K37" s="20"/>
      <c r="L37" s="19"/>
      <c r="M37" s="20"/>
      <c r="N37" s="20"/>
      <c r="O37" s="19"/>
      <c r="P37" s="20"/>
      <c r="Q37" s="20"/>
      <c r="R37" s="19"/>
      <c r="S37" s="20"/>
      <c r="T37" s="27"/>
      <c r="U37" s="27"/>
    </row>
    <row r="38" spans="2:21">
      <c r="B38" s="20"/>
      <c r="C38" s="20"/>
      <c r="D38" s="20" t="s">
        <v>124</v>
      </c>
      <c r="E38" s="19">
        <v>3</v>
      </c>
      <c r="F38" s="19">
        <v>3</v>
      </c>
      <c r="G38" s="20"/>
      <c r="H38" s="20"/>
      <c r="I38" s="20"/>
      <c r="J38" s="20"/>
      <c r="K38" s="20"/>
      <c r="L38" s="19" t="s">
        <v>9</v>
      </c>
      <c r="M38" s="20"/>
      <c r="N38" s="20"/>
      <c r="O38" s="19" t="s">
        <v>9</v>
      </c>
      <c r="P38" s="20"/>
      <c r="Q38" s="20"/>
      <c r="R38" s="19" t="s">
        <v>9</v>
      </c>
      <c r="S38" s="20"/>
      <c r="T38" s="27"/>
      <c r="U38" s="27"/>
    </row>
    <row r="39" spans="2:21">
      <c r="B39" s="20"/>
      <c r="C39" s="20"/>
      <c r="D39" s="20"/>
      <c r="E39" s="19"/>
      <c r="F39" s="19"/>
      <c r="G39" s="20"/>
      <c r="H39" s="20"/>
      <c r="I39" s="20"/>
      <c r="J39" s="20"/>
      <c r="K39" s="20"/>
      <c r="L39" s="19"/>
      <c r="M39" s="20"/>
      <c r="N39" s="20"/>
      <c r="O39" s="19"/>
      <c r="P39" s="20"/>
      <c r="Q39" s="20"/>
      <c r="R39" s="19"/>
      <c r="S39" s="20"/>
      <c r="T39" s="27"/>
      <c r="U39" s="27"/>
    </row>
    <row r="40" spans="2:21">
      <c r="B40" s="20"/>
      <c r="C40" s="20"/>
      <c r="D40" s="20" t="s">
        <v>126</v>
      </c>
      <c r="E40" s="19">
        <v>3</v>
      </c>
      <c r="F40" s="19">
        <v>3</v>
      </c>
      <c r="G40" s="20"/>
      <c r="H40" s="20"/>
      <c r="I40" s="20"/>
      <c r="J40" s="20"/>
      <c r="K40" s="20"/>
      <c r="L40" s="19" t="s">
        <v>9</v>
      </c>
      <c r="M40" s="20"/>
      <c r="N40" s="20"/>
      <c r="O40" s="19" t="s">
        <v>9</v>
      </c>
      <c r="P40" s="20"/>
      <c r="Q40" s="20"/>
      <c r="R40" s="19" t="s">
        <v>9</v>
      </c>
      <c r="S40" s="20"/>
      <c r="T40" s="27"/>
      <c r="U40" s="27"/>
    </row>
    <row r="41" spans="2:21">
      <c r="B41" s="20"/>
      <c r="C41" s="20"/>
      <c r="D41" s="20"/>
      <c r="E41" s="19"/>
      <c r="F41" s="19"/>
      <c r="G41" s="20"/>
      <c r="H41" s="20"/>
      <c r="I41" s="20"/>
      <c r="J41" s="20"/>
      <c r="K41" s="20"/>
      <c r="L41" s="19"/>
      <c r="M41" s="20"/>
      <c r="N41" s="20"/>
      <c r="O41" s="19"/>
      <c r="P41" s="20"/>
      <c r="Q41" s="20"/>
      <c r="R41" s="19"/>
      <c r="S41" s="20"/>
      <c r="T41" s="27"/>
      <c r="U41" s="27"/>
    </row>
    <row r="42" spans="2:21">
      <c r="B42" s="20"/>
      <c r="C42" s="20"/>
      <c r="D42" s="20" t="s">
        <v>127</v>
      </c>
      <c r="E42" s="19">
        <v>3</v>
      </c>
      <c r="F42" s="19">
        <v>3</v>
      </c>
      <c r="G42" s="20"/>
      <c r="H42" s="20"/>
      <c r="I42" s="20"/>
      <c r="J42" s="20"/>
      <c r="K42" s="20"/>
      <c r="L42" s="19" t="s">
        <v>9</v>
      </c>
      <c r="M42" s="20"/>
      <c r="N42" s="20"/>
      <c r="O42" s="19" t="s">
        <v>9</v>
      </c>
      <c r="P42" s="20"/>
      <c r="Q42" s="20"/>
      <c r="R42" s="19" t="s">
        <v>9</v>
      </c>
      <c r="S42" s="20"/>
      <c r="T42" s="27"/>
      <c r="U42" s="27"/>
    </row>
    <row r="43" spans="2:21">
      <c r="B43" s="20"/>
      <c r="C43" s="20"/>
      <c r="D43" s="20"/>
      <c r="E43" s="19"/>
      <c r="F43" s="19"/>
      <c r="G43" s="20"/>
      <c r="H43" s="20"/>
      <c r="I43" s="20"/>
      <c r="J43" s="20"/>
      <c r="K43" s="20"/>
      <c r="L43" s="19"/>
      <c r="M43" s="20"/>
      <c r="N43" s="20"/>
      <c r="O43" s="19"/>
      <c r="P43" s="20"/>
      <c r="Q43" s="20"/>
      <c r="R43" s="19"/>
      <c r="S43" s="20"/>
      <c r="T43" s="27"/>
      <c r="U43" s="27"/>
    </row>
    <row r="44" spans="2:21">
      <c r="B44" s="20"/>
      <c r="C44" s="20"/>
      <c r="D44" s="20" t="s">
        <v>128</v>
      </c>
      <c r="E44" s="19">
        <v>3</v>
      </c>
      <c r="F44" s="19">
        <v>3</v>
      </c>
      <c r="G44" s="20"/>
      <c r="H44" s="20"/>
      <c r="I44" s="20"/>
      <c r="J44" s="20"/>
      <c r="K44" s="20"/>
      <c r="L44" s="19" t="s">
        <v>9</v>
      </c>
      <c r="M44" s="20"/>
      <c r="N44" s="20"/>
      <c r="O44" s="19" t="s">
        <v>9</v>
      </c>
      <c r="P44" s="20"/>
      <c r="Q44" s="20"/>
      <c r="R44" s="19" t="s">
        <v>9</v>
      </c>
      <c r="S44" s="20"/>
      <c r="T44" s="27"/>
      <c r="U44" s="27"/>
    </row>
    <row r="45" spans="2:21">
      <c r="B45" s="20"/>
      <c r="C45" s="20"/>
      <c r="D45" s="20"/>
      <c r="E45" s="19"/>
      <c r="F45" s="19"/>
      <c r="G45" s="20"/>
      <c r="H45" s="20"/>
      <c r="I45" s="20"/>
      <c r="J45" s="20"/>
      <c r="K45" s="20"/>
      <c r="L45" s="19"/>
      <c r="M45" s="20"/>
      <c r="N45" s="20"/>
      <c r="O45" s="19"/>
      <c r="P45" s="20"/>
      <c r="Q45" s="20"/>
      <c r="R45" s="19"/>
      <c r="S45" s="20"/>
      <c r="T45" s="27"/>
      <c r="U45" s="27"/>
    </row>
    <row r="46" spans="2:21">
      <c r="B46" s="20"/>
      <c r="C46" s="20"/>
      <c r="D46" s="20" t="s">
        <v>129</v>
      </c>
      <c r="E46" s="19">
        <v>3</v>
      </c>
      <c r="F46" s="19">
        <v>12</v>
      </c>
      <c r="G46" s="20"/>
      <c r="H46" s="20"/>
      <c r="I46" s="20"/>
      <c r="J46" s="20"/>
      <c r="K46" s="20"/>
      <c r="L46" s="19" t="s">
        <v>9</v>
      </c>
      <c r="M46" s="20"/>
      <c r="N46" s="20"/>
      <c r="O46" s="20"/>
      <c r="P46" s="20"/>
      <c r="Q46" s="20"/>
      <c r="R46" s="20"/>
      <c r="S46" s="20"/>
      <c r="T46" s="27"/>
      <c r="U46" s="27"/>
    </row>
    <row r="47" spans="2:21">
      <c r="B47" s="20"/>
      <c r="C47" s="20"/>
      <c r="D47" s="20"/>
      <c r="E47" s="19"/>
      <c r="F47" s="19"/>
      <c r="G47" s="20"/>
      <c r="H47" s="20"/>
      <c r="I47" s="20"/>
      <c r="J47" s="20"/>
      <c r="K47" s="20"/>
      <c r="L47" s="19"/>
      <c r="M47" s="20"/>
      <c r="N47" s="20"/>
      <c r="O47" s="20"/>
      <c r="P47" s="20"/>
      <c r="Q47" s="20"/>
      <c r="R47" s="20"/>
      <c r="S47" s="20"/>
      <c r="T47" s="27"/>
      <c r="U47" s="27"/>
    </row>
    <row r="48" spans="2:21">
      <c r="B48" s="20" t="s">
        <v>120</v>
      </c>
      <c r="C48" s="20" t="s">
        <v>8</v>
      </c>
      <c r="D48" s="20" t="s">
        <v>131</v>
      </c>
      <c r="E48" s="19">
        <v>6</v>
      </c>
      <c r="F48" s="19">
        <v>6</v>
      </c>
      <c r="G48" s="20"/>
      <c r="H48" s="20"/>
      <c r="I48" s="20"/>
      <c r="J48" s="20"/>
      <c r="K48" s="19" t="s">
        <v>9</v>
      </c>
      <c r="L48" s="20"/>
      <c r="M48" s="20"/>
      <c r="N48" s="20"/>
      <c r="O48" s="20"/>
      <c r="P48" s="20"/>
      <c r="Q48" s="19" t="s">
        <v>9</v>
      </c>
      <c r="R48" s="20"/>
      <c r="S48" s="20"/>
      <c r="T48" s="27"/>
      <c r="U48" s="27"/>
    </row>
    <row r="49" spans="2:21">
      <c r="B49" s="20"/>
      <c r="C49" s="20"/>
      <c r="D49" s="20"/>
      <c r="E49" s="19"/>
      <c r="F49" s="19"/>
      <c r="G49" s="20"/>
      <c r="H49" s="20"/>
      <c r="I49" s="20"/>
      <c r="J49" s="20"/>
      <c r="K49" s="19"/>
      <c r="L49" s="20"/>
      <c r="M49" s="20"/>
      <c r="N49" s="20"/>
      <c r="O49" s="20"/>
      <c r="P49" s="20"/>
      <c r="Q49" s="19"/>
      <c r="R49" s="20"/>
      <c r="S49" s="20"/>
      <c r="T49" s="27"/>
      <c r="U49" s="27"/>
    </row>
    <row r="50" spans="2:21">
      <c r="B50" s="20" t="s">
        <v>130</v>
      </c>
      <c r="C50" s="20"/>
      <c r="D50" s="20" t="s">
        <v>132</v>
      </c>
      <c r="E50" s="19">
        <v>6</v>
      </c>
      <c r="F50" s="19">
        <v>6</v>
      </c>
      <c r="G50" s="20"/>
      <c r="H50" s="20"/>
      <c r="I50" s="20"/>
      <c r="J50" s="20"/>
      <c r="K50" s="19" t="s">
        <v>9</v>
      </c>
      <c r="L50" s="20"/>
      <c r="M50" s="20"/>
      <c r="N50" s="20"/>
      <c r="O50" s="20"/>
      <c r="P50" s="20"/>
      <c r="Q50" s="19" t="s">
        <v>9</v>
      </c>
      <c r="R50" s="20"/>
      <c r="S50" s="20"/>
      <c r="T50" s="27"/>
      <c r="U50" s="27"/>
    </row>
    <row r="51" spans="2:21">
      <c r="B51" s="20"/>
      <c r="C51" s="20"/>
      <c r="D51" s="20"/>
      <c r="E51" s="19"/>
      <c r="F51" s="19"/>
      <c r="G51" s="20"/>
      <c r="H51" s="20"/>
      <c r="I51" s="20"/>
      <c r="J51" s="20"/>
      <c r="K51" s="19"/>
      <c r="L51" s="20"/>
      <c r="M51" s="20"/>
      <c r="N51" s="20"/>
      <c r="O51" s="20"/>
      <c r="P51" s="20"/>
      <c r="Q51" s="19"/>
      <c r="R51" s="20"/>
      <c r="S51" s="20"/>
      <c r="T51" s="27"/>
      <c r="U51" s="27"/>
    </row>
    <row r="52" spans="2:21">
      <c r="B52" s="20" t="s">
        <v>120</v>
      </c>
      <c r="C52" s="20" t="s">
        <v>6</v>
      </c>
      <c r="D52" s="20" t="s">
        <v>134</v>
      </c>
      <c r="E52" s="19">
        <v>1</v>
      </c>
      <c r="F52" s="19">
        <v>1</v>
      </c>
      <c r="G52" s="20" t="s">
        <v>144</v>
      </c>
      <c r="H52" s="19"/>
      <c r="I52" s="19"/>
      <c r="J52" s="19"/>
      <c r="K52" s="19" t="s">
        <v>9</v>
      </c>
      <c r="L52" s="19" t="s">
        <v>9</v>
      </c>
      <c r="M52" s="19" t="s">
        <v>9</v>
      </c>
      <c r="N52" s="19" t="s">
        <v>9</v>
      </c>
      <c r="O52" s="19" t="s">
        <v>9</v>
      </c>
      <c r="P52" s="19" t="s">
        <v>9</v>
      </c>
      <c r="Q52" s="19" t="s">
        <v>9</v>
      </c>
      <c r="R52" s="19" t="s">
        <v>9</v>
      </c>
      <c r="S52" s="19" t="s">
        <v>9</v>
      </c>
      <c r="T52" s="27"/>
      <c r="U52" s="27"/>
    </row>
    <row r="53" spans="2:21">
      <c r="B53" s="20"/>
      <c r="C53" s="20"/>
      <c r="D53" s="20"/>
      <c r="E53" s="19"/>
      <c r="F53" s="19"/>
      <c r="G53" s="20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27"/>
      <c r="U53" s="27"/>
    </row>
    <row r="54" spans="2:21">
      <c r="B54" s="20" t="s">
        <v>133</v>
      </c>
      <c r="C54" s="20"/>
      <c r="D54" s="20" t="s">
        <v>135</v>
      </c>
      <c r="E54" s="19">
        <v>3</v>
      </c>
      <c r="F54" s="19">
        <v>3</v>
      </c>
      <c r="G54" s="20"/>
      <c r="H54" s="20"/>
      <c r="I54" s="20"/>
      <c r="J54" s="20"/>
      <c r="K54" s="19" t="s">
        <v>9</v>
      </c>
      <c r="L54" s="20"/>
      <c r="M54" s="20"/>
      <c r="N54" s="19" t="s">
        <v>9</v>
      </c>
      <c r="O54" s="20"/>
      <c r="P54" s="20"/>
      <c r="Q54" s="19" t="s">
        <v>9</v>
      </c>
      <c r="R54" s="20"/>
      <c r="S54" s="20"/>
      <c r="T54" s="27"/>
      <c r="U54" s="27"/>
    </row>
    <row r="55" spans="2:21">
      <c r="B55" s="20"/>
      <c r="C55" s="20"/>
      <c r="D55" s="20"/>
      <c r="E55" s="19"/>
      <c r="F55" s="19"/>
      <c r="G55" s="20"/>
      <c r="H55" s="20"/>
      <c r="I55" s="20"/>
      <c r="J55" s="20"/>
      <c r="K55" s="19"/>
      <c r="L55" s="20"/>
      <c r="M55" s="20"/>
      <c r="N55" s="19"/>
      <c r="O55" s="20"/>
      <c r="P55" s="20"/>
      <c r="Q55" s="19"/>
      <c r="R55" s="20"/>
      <c r="S55" s="20"/>
      <c r="T55" s="27"/>
      <c r="U55" s="27"/>
    </row>
    <row r="56" spans="2:21">
      <c r="B56" s="20"/>
      <c r="C56" s="20"/>
      <c r="D56" s="20" t="s">
        <v>146</v>
      </c>
      <c r="E56" s="19">
        <v>6</v>
      </c>
      <c r="F56" s="19">
        <v>6</v>
      </c>
      <c r="G56" s="20"/>
      <c r="H56" s="20"/>
      <c r="I56" s="20"/>
      <c r="J56" s="20"/>
      <c r="K56" s="20"/>
      <c r="L56" s="20"/>
      <c r="M56" s="20"/>
      <c r="N56" s="19" t="s">
        <v>9</v>
      </c>
      <c r="O56" s="20"/>
      <c r="P56" s="20"/>
      <c r="Q56" s="20"/>
      <c r="R56" s="20"/>
      <c r="S56" s="20"/>
      <c r="T56" s="27"/>
      <c r="U56" s="27"/>
    </row>
    <row r="57" spans="2:21">
      <c r="B57" s="20"/>
      <c r="C57" s="20"/>
      <c r="D57" s="20" t="s">
        <v>136</v>
      </c>
      <c r="E57" s="19">
        <v>6</v>
      </c>
      <c r="F57" s="19">
        <v>6</v>
      </c>
      <c r="G57" s="20" t="s">
        <v>145</v>
      </c>
      <c r="H57" s="20"/>
      <c r="I57" s="20"/>
      <c r="J57" s="20"/>
      <c r="K57" s="20"/>
      <c r="L57" s="20"/>
      <c r="M57" s="20"/>
      <c r="N57" s="19" t="s">
        <v>9</v>
      </c>
      <c r="O57" s="20"/>
      <c r="P57" s="20"/>
      <c r="Q57" s="20"/>
      <c r="R57" s="20"/>
      <c r="S57" s="20"/>
      <c r="T57" s="27"/>
      <c r="U57" s="27"/>
    </row>
    <row r="58" spans="2:21">
      <c r="B58" s="20"/>
      <c r="C58" s="20"/>
      <c r="D58" s="20"/>
      <c r="E58" s="19"/>
      <c r="F58" s="19"/>
      <c r="G58" s="20"/>
      <c r="H58" s="20"/>
      <c r="I58" s="20"/>
      <c r="J58" s="20"/>
      <c r="K58" s="20"/>
      <c r="L58" s="20"/>
      <c r="M58" s="20"/>
      <c r="N58" s="19"/>
      <c r="O58" s="20"/>
      <c r="P58" s="20"/>
      <c r="Q58" s="20"/>
      <c r="R58" s="20"/>
      <c r="S58" s="20"/>
      <c r="T58" s="27"/>
      <c r="U58" s="27"/>
    </row>
    <row r="59" spans="2:21">
      <c r="B59" s="20"/>
      <c r="C59" s="20"/>
      <c r="D59" s="20" t="s">
        <v>137</v>
      </c>
      <c r="E59" s="19">
        <v>6</v>
      </c>
      <c r="F59" s="19">
        <v>6</v>
      </c>
      <c r="G59" s="20"/>
      <c r="H59" s="20"/>
      <c r="I59" s="20"/>
      <c r="J59" s="20"/>
      <c r="K59" s="20"/>
      <c r="L59" s="20"/>
      <c r="M59" s="20"/>
      <c r="N59" s="19" t="s">
        <v>9</v>
      </c>
      <c r="O59" s="20"/>
      <c r="P59" s="20"/>
      <c r="Q59" s="20"/>
      <c r="R59" s="20"/>
      <c r="S59" s="20"/>
      <c r="T59" s="27"/>
      <c r="U59" s="27"/>
    </row>
    <row r="60" spans="2:21">
      <c r="B60" s="20"/>
      <c r="C60" s="20"/>
      <c r="D60" s="20"/>
      <c r="E60" s="19"/>
      <c r="F60" s="19"/>
      <c r="G60" s="20"/>
      <c r="H60" s="20"/>
      <c r="I60" s="20"/>
      <c r="J60" s="20"/>
      <c r="K60" s="20"/>
      <c r="L60" s="20"/>
      <c r="M60" s="20"/>
      <c r="N60" s="19"/>
      <c r="O60" s="20"/>
      <c r="P60" s="20"/>
      <c r="Q60" s="20"/>
      <c r="R60" s="20"/>
      <c r="S60" s="20"/>
      <c r="T60" s="27"/>
      <c r="U60" s="27"/>
    </row>
    <row r="61" spans="2:21">
      <c r="B61" s="20"/>
      <c r="C61" s="20"/>
      <c r="D61" s="20" t="s">
        <v>138</v>
      </c>
      <c r="E61" s="19">
        <v>3</v>
      </c>
      <c r="F61" s="19">
        <v>3</v>
      </c>
      <c r="G61" s="20"/>
      <c r="H61" s="20"/>
      <c r="I61" s="20"/>
      <c r="J61" s="20"/>
      <c r="K61" s="19" t="s">
        <v>9</v>
      </c>
      <c r="L61" s="20"/>
      <c r="M61" s="20"/>
      <c r="N61" s="19" t="s">
        <v>9</v>
      </c>
      <c r="O61" s="20"/>
      <c r="P61" s="20"/>
      <c r="Q61" s="19" t="s">
        <v>9</v>
      </c>
      <c r="R61" s="20"/>
      <c r="S61" s="20"/>
      <c r="T61" s="27"/>
      <c r="U61" s="27"/>
    </row>
    <row r="62" spans="2:21">
      <c r="B62" s="20"/>
      <c r="C62" s="20"/>
      <c r="D62" s="20"/>
      <c r="E62" s="19"/>
      <c r="F62" s="19"/>
      <c r="G62" s="20"/>
      <c r="H62" s="20"/>
      <c r="I62" s="20"/>
      <c r="J62" s="20"/>
      <c r="K62" s="19"/>
      <c r="L62" s="20"/>
      <c r="M62" s="20"/>
      <c r="N62" s="19"/>
      <c r="O62" s="20"/>
      <c r="P62" s="20"/>
      <c r="Q62" s="19"/>
      <c r="R62" s="20"/>
      <c r="S62" s="20"/>
      <c r="T62" s="27"/>
      <c r="U62" s="27"/>
    </row>
    <row r="63" spans="2:21">
      <c r="B63" s="20"/>
      <c r="C63" s="20"/>
      <c r="D63" s="20" t="s">
        <v>139</v>
      </c>
      <c r="E63" s="19">
        <v>3</v>
      </c>
      <c r="F63" s="19">
        <v>6</v>
      </c>
      <c r="G63" s="20"/>
      <c r="H63" s="20"/>
      <c r="I63" s="20"/>
      <c r="J63" s="20"/>
      <c r="K63" s="20"/>
      <c r="L63" s="20"/>
      <c r="M63" s="20"/>
      <c r="N63" s="19" t="s">
        <v>9</v>
      </c>
      <c r="O63" s="20"/>
      <c r="P63" s="20"/>
      <c r="Q63" s="20"/>
      <c r="R63" s="20"/>
      <c r="S63" s="20"/>
      <c r="T63" s="27"/>
      <c r="U63" s="27"/>
    </row>
    <row r="64" spans="2:21">
      <c r="B64" s="20"/>
      <c r="C64" s="20"/>
      <c r="D64" s="20"/>
      <c r="E64" s="19"/>
      <c r="F64" s="19"/>
      <c r="G64" s="20"/>
      <c r="H64" s="20"/>
      <c r="I64" s="20"/>
      <c r="J64" s="20"/>
      <c r="K64" s="20"/>
      <c r="L64" s="20"/>
      <c r="M64" s="20"/>
      <c r="N64" s="19"/>
      <c r="O64" s="20"/>
      <c r="P64" s="20"/>
      <c r="Q64" s="20"/>
      <c r="R64" s="20"/>
      <c r="S64" s="20"/>
      <c r="T64" s="27"/>
      <c r="U64" s="27"/>
    </row>
    <row r="65" spans="2:21">
      <c r="B65" s="20"/>
      <c r="C65" s="20"/>
      <c r="D65" s="20" t="s">
        <v>140</v>
      </c>
      <c r="E65" s="19">
        <v>3</v>
      </c>
      <c r="F65" s="19">
        <v>3</v>
      </c>
      <c r="G65" s="20"/>
      <c r="H65" s="20"/>
      <c r="I65" s="20"/>
      <c r="J65" s="20"/>
      <c r="K65" s="19" t="s">
        <v>9</v>
      </c>
      <c r="L65" s="20"/>
      <c r="M65" s="20"/>
      <c r="N65" s="19" t="s">
        <v>9</v>
      </c>
      <c r="O65" s="20"/>
      <c r="P65" s="20"/>
      <c r="Q65" s="19" t="s">
        <v>9</v>
      </c>
      <c r="R65" s="20"/>
      <c r="S65" s="20"/>
      <c r="T65" s="27"/>
      <c r="U65" s="27"/>
    </row>
    <row r="66" spans="2:21">
      <c r="B66" s="20"/>
      <c r="C66" s="20"/>
      <c r="D66" s="20"/>
      <c r="E66" s="19"/>
      <c r="F66" s="19"/>
      <c r="G66" s="20"/>
      <c r="H66" s="20"/>
      <c r="I66" s="20"/>
      <c r="J66" s="20"/>
      <c r="K66" s="19"/>
      <c r="L66" s="20"/>
      <c r="M66" s="20"/>
      <c r="N66" s="19"/>
      <c r="O66" s="20"/>
      <c r="P66" s="20"/>
      <c r="Q66" s="19"/>
      <c r="R66" s="20"/>
      <c r="S66" s="20"/>
      <c r="T66" s="27"/>
      <c r="U66" s="27"/>
    </row>
    <row r="67" spans="2:21">
      <c r="B67" s="20"/>
      <c r="C67" s="20"/>
      <c r="D67" s="20" t="s">
        <v>141</v>
      </c>
      <c r="E67" s="19">
        <v>3</v>
      </c>
      <c r="F67" s="19">
        <v>3</v>
      </c>
      <c r="G67" s="20"/>
      <c r="H67" s="20"/>
      <c r="I67" s="20"/>
      <c r="J67" s="20"/>
      <c r="K67" s="19" t="s">
        <v>9</v>
      </c>
      <c r="L67" s="20"/>
      <c r="M67" s="20"/>
      <c r="N67" s="19" t="s">
        <v>9</v>
      </c>
      <c r="O67" s="20"/>
      <c r="P67" s="20"/>
      <c r="Q67" s="19" t="s">
        <v>9</v>
      </c>
      <c r="R67" s="20"/>
      <c r="S67" s="20"/>
      <c r="T67" s="27"/>
      <c r="U67" s="27"/>
    </row>
    <row r="68" spans="2:21">
      <c r="B68" s="20"/>
      <c r="C68" s="20"/>
      <c r="D68" s="20"/>
      <c r="E68" s="19"/>
      <c r="F68" s="19"/>
      <c r="G68" s="20"/>
      <c r="H68" s="20"/>
      <c r="I68" s="20"/>
      <c r="J68" s="20"/>
      <c r="K68" s="19"/>
      <c r="L68" s="20"/>
      <c r="M68" s="20"/>
      <c r="N68" s="19"/>
      <c r="O68" s="20"/>
      <c r="P68" s="20"/>
      <c r="Q68" s="19"/>
      <c r="R68" s="20"/>
      <c r="S68" s="20"/>
      <c r="T68" s="27"/>
      <c r="U68" s="27"/>
    </row>
    <row r="69" spans="2:21">
      <c r="B69" s="20"/>
      <c r="C69" s="20"/>
      <c r="D69" s="20" t="s">
        <v>142</v>
      </c>
      <c r="E69" s="19">
        <v>3</v>
      </c>
      <c r="F69" s="19">
        <v>3</v>
      </c>
      <c r="G69" s="20"/>
      <c r="H69" s="20"/>
      <c r="I69" s="20"/>
      <c r="J69" s="20"/>
      <c r="K69" s="19" t="s">
        <v>9</v>
      </c>
      <c r="L69" s="20"/>
      <c r="M69" s="20"/>
      <c r="N69" s="19" t="s">
        <v>9</v>
      </c>
      <c r="O69" s="20"/>
      <c r="P69" s="20"/>
      <c r="Q69" s="19" t="s">
        <v>9</v>
      </c>
      <c r="R69" s="20"/>
      <c r="S69" s="20"/>
      <c r="T69" s="27"/>
      <c r="U69" s="27"/>
    </row>
    <row r="70" spans="2:21">
      <c r="B70" s="20"/>
      <c r="C70" s="20"/>
      <c r="D70" s="20"/>
      <c r="E70" s="19"/>
      <c r="F70" s="19"/>
      <c r="G70" s="20"/>
      <c r="H70" s="20"/>
      <c r="I70" s="20"/>
      <c r="J70" s="20"/>
      <c r="K70" s="19"/>
      <c r="L70" s="20"/>
      <c r="M70" s="20"/>
      <c r="N70" s="19"/>
      <c r="O70" s="20"/>
      <c r="P70" s="20"/>
      <c r="Q70" s="19"/>
      <c r="R70" s="20"/>
      <c r="S70" s="20"/>
      <c r="T70" s="27"/>
      <c r="U70" s="27"/>
    </row>
    <row r="71" spans="2:21">
      <c r="B71" s="20"/>
      <c r="C71" s="20"/>
      <c r="D71" s="20" t="s">
        <v>143</v>
      </c>
      <c r="E71" s="19">
        <v>3</v>
      </c>
      <c r="F71" s="19">
        <v>6</v>
      </c>
      <c r="G71" s="20"/>
      <c r="H71" s="20"/>
      <c r="I71" s="20"/>
      <c r="J71" s="20"/>
      <c r="K71" s="20"/>
      <c r="L71" s="20"/>
      <c r="M71" s="20"/>
      <c r="N71" s="19" t="s">
        <v>9</v>
      </c>
      <c r="O71" s="20"/>
      <c r="P71" s="20"/>
      <c r="Q71" s="20"/>
      <c r="R71" s="20"/>
      <c r="S71" s="20"/>
      <c r="T71" s="27"/>
      <c r="U71" s="27"/>
    </row>
    <row r="72" spans="2:21">
      <c r="B72" s="20"/>
      <c r="C72" s="20"/>
      <c r="D72" s="20"/>
      <c r="E72" s="19"/>
      <c r="F72" s="19"/>
      <c r="G72" s="20"/>
      <c r="H72" s="20"/>
      <c r="I72" s="20"/>
      <c r="J72" s="20"/>
      <c r="K72" s="20"/>
      <c r="L72" s="20"/>
      <c r="M72" s="20"/>
      <c r="N72" s="19"/>
      <c r="O72" s="20"/>
      <c r="P72" s="20"/>
      <c r="Q72" s="20"/>
      <c r="R72" s="20"/>
      <c r="S72" s="20"/>
      <c r="T72" s="27"/>
      <c r="U72" s="27"/>
    </row>
    <row r="73" spans="2:21">
      <c r="B73" s="20"/>
      <c r="C73" s="20"/>
      <c r="D73" s="20" t="s">
        <v>128</v>
      </c>
      <c r="E73" s="19">
        <v>3</v>
      </c>
      <c r="F73" s="19">
        <v>6</v>
      </c>
      <c r="G73" s="20"/>
      <c r="H73" s="20"/>
      <c r="I73" s="20"/>
      <c r="J73" s="20"/>
      <c r="K73" s="20"/>
      <c r="L73" s="20"/>
      <c r="M73" s="20"/>
      <c r="N73" s="19" t="s">
        <v>9</v>
      </c>
      <c r="O73" s="20"/>
      <c r="P73" s="20"/>
      <c r="Q73" s="20"/>
      <c r="R73" s="20"/>
      <c r="S73" s="20"/>
      <c r="T73" s="27"/>
      <c r="U73" s="27"/>
    </row>
    <row r="74" spans="2:21">
      <c r="B74" s="20"/>
      <c r="C74" s="20"/>
      <c r="D74" s="20"/>
      <c r="E74" s="19"/>
      <c r="F74" s="19"/>
      <c r="G74" s="20"/>
      <c r="H74" s="20"/>
      <c r="I74" s="20"/>
      <c r="J74" s="20"/>
      <c r="K74" s="20"/>
      <c r="L74" s="20"/>
      <c r="M74" s="20"/>
      <c r="N74" s="19"/>
      <c r="O74" s="20"/>
      <c r="P74" s="20"/>
      <c r="Q74" s="20"/>
      <c r="R74" s="20"/>
      <c r="S74" s="20"/>
      <c r="T74" s="27"/>
      <c r="U74" s="27"/>
    </row>
    <row r="75" spans="2:21">
      <c r="B75" s="20" t="s">
        <v>120</v>
      </c>
      <c r="C75" s="20"/>
      <c r="D75" s="20" t="s">
        <v>148</v>
      </c>
      <c r="E75" s="19">
        <v>1</v>
      </c>
      <c r="F75" s="19">
        <v>1</v>
      </c>
      <c r="G75" s="19"/>
      <c r="H75" s="19"/>
      <c r="I75" s="19"/>
      <c r="J75" s="19"/>
      <c r="K75" s="19" t="s">
        <v>9</v>
      </c>
      <c r="L75" s="19" t="s">
        <v>9</v>
      </c>
      <c r="M75" s="19" t="s">
        <v>9</v>
      </c>
      <c r="N75" s="19" t="s">
        <v>9</v>
      </c>
      <c r="O75" s="19" t="s">
        <v>9</v>
      </c>
      <c r="P75" s="19" t="s">
        <v>9</v>
      </c>
      <c r="Q75" s="19" t="s">
        <v>9</v>
      </c>
      <c r="R75" s="19" t="s">
        <v>9</v>
      </c>
      <c r="S75" s="19" t="s">
        <v>9</v>
      </c>
    </row>
    <row r="76" spans="2:21">
      <c r="B76" s="20"/>
      <c r="C76" s="20"/>
      <c r="D76" s="20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</row>
    <row r="77" spans="2:21">
      <c r="B77" s="20" t="s">
        <v>147</v>
      </c>
      <c r="C77" s="20"/>
      <c r="D77" s="20" t="s">
        <v>149</v>
      </c>
      <c r="E77" s="19">
        <v>1</v>
      </c>
      <c r="F77" s="19">
        <v>1</v>
      </c>
      <c r="G77" s="19"/>
      <c r="H77" s="19"/>
      <c r="I77" s="19"/>
      <c r="J77" s="19"/>
      <c r="K77" s="19" t="s">
        <v>9</v>
      </c>
      <c r="L77" s="19" t="s">
        <v>9</v>
      </c>
      <c r="M77" s="19" t="s">
        <v>9</v>
      </c>
      <c r="N77" s="19" t="s">
        <v>9</v>
      </c>
      <c r="O77" s="19" t="s">
        <v>9</v>
      </c>
      <c r="P77" s="19" t="s">
        <v>9</v>
      </c>
      <c r="Q77" s="19" t="s">
        <v>9</v>
      </c>
      <c r="R77" s="19" t="s">
        <v>9</v>
      </c>
      <c r="S77" s="19" t="s">
        <v>9</v>
      </c>
    </row>
    <row r="78" spans="2:21">
      <c r="B78" s="20"/>
      <c r="C78" s="20"/>
      <c r="D78" s="20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</row>
    <row r="79" spans="2:21">
      <c r="B79" s="20"/>
      <c r="C79" s="20"/>
      <c r="D79" s="20" t="s">
        <v>134</v>
      </c>
      <c r="E79" s="19">
        <v>3</v>
      </c>
      <c r="F79" s="19">
        <v>3</v>
      </c>
      <c r="G79" s="19"/>
      <c r="H79" s="19"/>
      <c r="I79" s="19"/>
      <c r="J79" s="19"/>
      <c r="K79" s="19"/>
      <c r="L79" s="19" t="s">
        <v>9</v>
      </c>
      <c r="M79" s="19"/>
      <c r="N79" s="19"/>
      <c r="O79" s="19" t="s">
        <v>9</v>
      </c>
      <c r="P79" s="19"/>
      <c r="Q79" s="19"/>
      <c r="R79" s="19" t="s">
        <v>9</v>
      </c>
      <c r="S79" s="19"/>
    </row>
    <row r="80" spans="2:21">
      <c r="B80" s="20"/>
      <c r="C80" s="20"/>
      <c r="D80" s="20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</row>
    <row r="81" spans="2:19">
      <c r="B81" s="20"/>
      <c r="C81" s="20"/>
      <c r="D81" s="20" t="s">
        <v>150</v>
      </c>
      <c r="E81" s="19">
        <v>1</v>
      </c>
      <c r="F81" s="19">
        <v>1</v>
      </c>
      <c r="G81" s="19"/>
      <c r="H81" s="19"/>
      <c r="I81" s="19"/>
      <c r="J81" s="19"/>
      <c r="K81" s="19" t="s">
        <v>9</v>
      </c>
      <c r="L81" s="19" t="s">
        <v>9</v>
      </c>
      <c r="M81" s="19" t="s">
        <v>9</v>
      </c>
      <c r="N81" s="19" t="s">
        <v>9</v>
      </c>
      <c r="O81" s="19" t="s">
        <v>9</v>
      </c>
      <c r="P81" s="19" t="s">
        <v>9</v>
      </c>
      <c r="Q81" s="19" t="s">
        <v>9</v>
      </c>
      <c r="R81" s="19" t="s">
        <v>9</v>
      </c>
      <c r="S81" s="19" t="s">
        <v>9</v>
      </c>
    </row>
    <row r="82" spans="2:19">
      <c r="B82" s="21"/>
      <c r="C82" s="26"/>
      <c r="D82" s="21"/>
      <c r="E82" s="21"/>
      <c r="F82" s="21"/>
      <c r="G82" s="34" t="s">
        <v>165</v>
      </c>
      <c r="H82" s="21">
        <f t="shared" ref="H82:S82" si="0">COUNTIFS(H4:H81,$H$4)</f>
        <v>3</v>
      </c>
      <c r="I82" s="21">
        <f t="shared" si="0"/>
        <v>0</v>
      </c>
      <c r="J82" s="21">
        <f t="shared" si="0"/>
        <v>0</v>
      </c>
      <c r="K82" s="21">
        <f t="shared" si="0"/>
        <v>14</v>
      </c>
      <c r="L82" s="21">
        <f t="shared" si="0"/>
        <v>14</v>
      </c>
      <c r="M82" s="21">
        <f t="shared" si="0"/>
        <v>6</v>
      </c>
      <c r="N82" s="21">
        <f t="shared" si="0"/>
        <v>19</v>
      </c>
      <c r="O82" s="21">
        <f t="shared" si="0"/>
        <v>13</v>
      </c>
      <c r="P82" s="21">
        <f t="shared" si="0"/>
        <v>13</v>
      </c>
      <c r="Q82" s="21">
        <f t="shared" si="0"/>
        <v>15</v>
      </c>
      <c r="R82" s="21">
        <f t="shared" si="0"/>
        <v>13</v>
      </c>
      <c r="S82" s="21">
        <f t="shared" si="0"/>
        <v>6</v>
      </c>
    </row>
    <row r="83" spans="2:19">
      <c r="B83" s="19"/>
      <c r="C83" s="20"/>
      <c r="D83" s="19"/>
      <c r="E83" s="19"/>
      <c r="F83" s="19"/>
      <c r="G83" s="32" t="s">
        <v>166</v>
      </c>
      <c r="H83" s="19">
        <f t="shared" ref="H83:S83" si="1">COUNTA(H4:H81)-COUNTIFS(H4:H81,$H$4)</f>
        <v>3</v>
      </c>
      <c r="I83" s="19">
        <f t="shared" si="1"/>
        <v>0</v>
      </c>
      <c r="J83" s="19">
        <f t="shared" si="1"/>
        <v>0</v>
      </c>
      <c r="K83" s="19">
        <f t="shared" si="1"/>
        <v>0</v>
      </c>
      <c r="L83" s="19">
        <f t="shared" si="1"/>
        <v>0</v>
      </c>
      <c r="M83" s="19">
        <f t="shared" si="1"/>
        <v>0</v>
      </c>
      <c r="N83" s="19">
        <f t="shared" si="1"/>
        <v>0</v>
      </c>
      <c r="O83" s="19">
        <f t="shared" si="1"/>
        <v>0</v>
      </c>
      <c r="P83" s="19">
        <f t="shared" si="1"/>
        <v>0</v>
      </c>
      <c r="Q83" s="19">
        <f t="shared" si="1"/>
        <v>0</v>
      </c>
      <c r="R83" s="19">
        <f t="shared" si="1"/>
        <v>0</v>
      </c>
      <c r="S83" s="19">
        <f t="shared" si="1"/>
        <v>0</v>
      </c>
    </row>
    <row r="84" spans="2:19">
      <c r="B84" s="19"/>
      <c r="C84" s="20"/>
      <c r="D84" s="19"/>
      <c r="E84" s="19"/>
      <c r="F84" s="19"/>
      <c r="G84" s="32" t="s">
        <v>167</v>
      </c>
      <c r="H84" s="31">
        <f>H83/H82</f>
        <v>1</v>
      </c>
      <c r="I84" s="31" t="e">
        <f t="shared" ref="I84:S84" si="2">I83/I82</f>
        <v>#DIV/0!</v>
      </c>
      <c r="J84" s="31" t="e">
        <f t="shared" si="2"/>
        <v>#DIV/0!</v>
      </c>
      <c r="K84" s="31">
        <f t="shared" si="2"/>
        <v>0</v>
      </c>
      <c r="L84" s="31">
        <f t="shared" si="2"/>
        <v>0</v>
      </c>
      <c r="M84" s="31">
        <f t="shared" si="2"/>
        <v>0</v>
      </c>
      <c r="N84" s="31">
        <f t="shared" si="2"/>
        <v>0</v>
      </c>
      <c r="O84" s="31">
        <f t="shared" si="2"/>
        <v>0</v>
      </c>
      <c r="P84" s="31">
        <f t="shared" si="2"/>
        <v>0</v>
      </c>
      <c r="Q84" s="31">
        <f t="shared" si="2"/>
        <v>0</v>
      </c>
      <c r="R84" s="31">
        <f t="shared" si="2"/>
        <v>0</v>
      </c>
      <c r="S84" s="31">
        <f t="shared" si="2"/>
        <v>0</v>
      </c>
    </row>
    <row r="85" spans="2:19">
      <c r="B85" s="20" t="s">
        <v>45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00428-46B5-4DB7-9BD6-188FC4AE44ED}">
  <sheetPr codeName="Sheet6"/>
  <dimension ref="A1:E56"/>
  <sheetViews>
    <sheetView topLeftCell="A22" workbookViewId="0">
      <selection activeCell="E58" sqref="E58"/>
    </sheetView>
  </sheetViews>
  <sheetFormatPr defaultRowHeight="15"/>
  <cols>
    <col min="1" max="1" width="21.28515625" customWidth="1"/>
    <col min="2" max="2" width="27.28515625" bestFit="1" customWidth="1"/>
    <col min="3" max="3" width="25.5703125" customWidth="1"/>
    <col min="4" max="4" width="18.28515625" customWidth="1"/>
    <col min="5" max="5" width="30.85546875" customWidth="1"/>
    <col min="6" max="6" width="24.85546875" customWidth="1"/>
  </cols>
  <sheetData>
    <row r="1" spans="1:5">
      <c r="B1" s="43" t="s">
        <v>188</v>
      </c>
    </row>
    <row r="2" spans="1:5" ht="87.75" customHeight="1">
      <c r="A2" s="45" t="s">
        <v>168</v>
      </c>
      <c r="B2" s="46" t="s">
        <v>147</v>
      </c>
      <c r="C2" t="e" vm="1">
        <v>#VALUE!</v>
      </c>
      <c r="E2" t="e" vm="2">
        <v>#VALUE!</v>
      </c>
    </row>
    <row r="3" spans="1:5" ht="87.75" customHeight="1">
      <c r="A3" s="40"/>
      <c r="B3" s="46" t="s">
        <v>173</v>
      </c>
    </row>
    <row r="4" spans="1:5" ht="87.75" customHeight="1">
      <c r="A4" s="40"/>
      <c r="B4" s="46" t="s">
        <v>170</v>
      </c>
    </row>
    <row r="5" spans="1:5" ht="87.75" customHeight="1">
      <c r="A5" s="40"/>
      <c r="B5" s="46" t="s">
        <v>171</v>
      </c>
    </row>
    <row r="6" spans="1:5" ht="87.75" customHeight="1">
      <c r="A6" s="40"/>
      <c r="B6" s="46" t="s">
        <v>172</v>
      </c>
    </row>
    <row r="7" spans="1:5" ht="87.75" customHeight="1">
      <c r="A7" s="40"/>
      <c r="B7" s="46" t="s">
        <v>169</v>
      </c>
    </row>
    <row r="8" spans="1:5" ht="87.75" customHeight="1">
      <c r="A8" s="40"/>
      <c r="B8" s="46" t="s">
        <v>130</v>
      </c>
    </row>
    <row r="9" spans="1:5" ht="87.75" customHeight="1">
      <c r="A9" s="40"/>
      <c r="B9" s="46" t="s">
        <v>177</v>
      </c>
    </row>
    <row r="10" spans="1:5" ht="87.75" customHeight="1">
      <c r="A10" s="40"/>
      <c r="B10" s="46" t="s">
        <v>226</v>
      </c>
    </row>
    <row r="11" spans="1:5" ht="87.75" customHeight="1">
      <c r="A11" s="40"/>
    </row>
    <row r="12" spans="1:5" ht="87.75" customHeight="1">
      <c r="A12" s="41" t="s">
        <v>174</v>
      </c>
      <c r="B12" s="43" t="s">
        <v>147</v>
      </c>
    </row>
    <row r="13" spans="1:5" ht="87.75" customHeight="1">
      <c r="B13" s="43" t="s">
        <v>170</v>
      </c>
    </row>
    <row r="14" spans="1:5" ht="87.75" customHeight="1">
      <c r="B14" s="43" t="s">
        <v>175</v>
      </c>
    </row>
    <row r="15" spans="1:5" ht="87.75" customHeight="1">
      <c r="B15" s="43" t="s">
        <v>176</v>
      </c>
    </row>
    <row r="16" spans="1:5" ht="87.75" customHeight="1">
      <c r="B16" s="43" t="s">
        <v>177</v>
      </c>
    </row>
    <row r="17" spans="1:4" ht="87.75" customHeight="1">
      <c r="B17" s="43" t="s">
        <v>178</v>
      </c>
    </row>
    <row r="21" spans="1:4">
      <c r="A21" s="41" t="s">
        <v>189</v>
      </c>
    </row>
    <row r="22" spans="1:4">
      <c r="A22" s="41" t="s">
        <v>179</v>
      </c>
      <c r="B22" s="42" t="s">
        <v>190</v>
      </c>
      <c r="C22" s="42" t="s">
        <v>7</v>
      </c>
      <c r="D22">
        <v>2</v>
      </c>
    </row>
    <row r="23" spans="1:4">
      <c r="A23" s="41" t="s">
        <v>180</v>
      </c>
      <c r="B23" s="42" t="s">
        <v>193</v>
      </c>
      <c r="C23" s="42" t="s">
        <v>208</v>
      </c>
      <c r="D23">
        <v>4</v>
      </c>
    </row>
    <row r="24" spans="1:4">
      <c r="A24" s="41" t="s">
        <v>181</v>
      </c>
      <c r="B24" s="42" t="s">
        <v>191</v>
      </c>
      <c r="C24" s="42" t="s">
        <v>209</v>
      </c>
      <c r="D24">
        <v>1</v>
      </c>
    </row>
    <row r="25" spans="1:4">
      <c r="A25" s="41" t="s">
        <v>182</v>
      </c>
      <c r="B25" s="42" t="s">
        <v>196</v>
      </c>
      <c r="C25" s="42" t="s">
        <v>210</v>
      </c>
      <c r="D25">
        <v>3</v>
      </c>
    </row>
    <row r="26" spans="1:4">
      <c r="A26" s="41" t="s">
        <v>183</v>
      </c>
      <c r="B26" s="42" t="s">
        <v>195</v>
      </c>
      <c r="C26" s="42" t="s">
        <v>211</v>
      </c>
      <c r="D26">
        <v>4</v>
      </c>
    </row>
    <row r="27" spans="1:4">
      <c r="A27" s="41" t="s">
        <v>184</v>
      </c>
      <c r="B27" s="42" t="s">
        <v>198</v>
      </c>
      <c r="C27" s="42" t="s">
        <v>210</v>
      </c>
      <c r="D27">
        <v>3</v>
      </c>
    </row>
    <row r="28" spans="1:4">
      <c r="A28" s="41" t="s">
        <v>185</v>
      </c>
      <c r="B28" s="42" t="s">
        <v>197</v>
      </c>
      <c r="C28" s="42" t="s">
        <v>212</v>
      </c>
      <c r="D28">
        <v>4</v>
      </c>
    </row>
    <row r="29" spans="1:4">
      <c r="A29" s="41" t="s">
        <v>186</v>
      </c>
      <c r="B29" s="42" t="s">
        <v>194</v>
      </c>
      <c r="C29" s="42" t="s">
        <v>212</v>
      </c>
      <c r="D29">
        <v>4</v>
      </c>
    </row>
    <row r="30" spans="1:4">
      <c r="A30" s="41" t="s">
        <v>187</v>
      </c>
      <c r="B30" s="42" t="s">
        <v>192</v>
      </c>
      <c r="C30" s="42" t="s">
        <v>211</v>
      </c>
      <c r="D30">
        <v>4</v>
      </c>
    </row>
    <row r="31" spans="1:4">
      <c r="A31" s="40"/>
      <c r="B31" s="44"/>
      <c r="C31" s="44"/>
    </row>
    <row r="33" spans="1:4">
      <c r="A33" s="41" t="s">
        <v>181</v>
      </c>
      <c r="B33" s="42" t="s">
        <v>191</v>
      </c>
      <c r="C33" s="42" t="s">
        <v>209</v>
      </c>
      <c r="D33">
        <v>1</v>
      </c>
    </row>
    <row r="34" spans="1:4">
      <c r="A34" s="41" t="s">
        <v>179</v>
      </c>
      <c r="B34" s="42" t="s">
        <v>190</v>
      </c>
      <c r="C34" s="42" t="s">
        <v>7</v>
      </c>
      <c r="D34">
        <v>2</v>
      </c>
    </row>
    <row r="35" spans="1:4">
      <c r="A35" s="41" t="s">
        <v>182</v>
      </c>
      <c r="B35" s="42" t="s">
        <v>196</v>
      </c>
      <c r="C35" s="42" t="s">
        <v>210</v>
      </c>
      <c r="D35">
        <v>3</v>
      </c>
    </row>
    <row r="36" spans="1:4">
      <c r="A36" s="41" t="s">
        <v>184</v>
      </c>
      <c r="B36" s="42" t="s">
        <v>198</v>
      </c>
      <c r="C36" s="42" t="s">
        <v>210</v>
      </c>
      <c r="D36">
        <v>3</v>
      </c>
    </row>
    <row r="37" spans="1:4">
      <c r="A37" s="41" t="s">
        <v>180</v>
      </c>
      <c r="B37" s="42" t="s">
        <v>193</v>
      </c>
      <c r="C37" s="42" t="s">
        <v>208</v>
      </c>
      <c r="D37">
        <v>4</v>
      </c>
    </row>
    <row r="38" spans="1:4">
      <c r="A38" s="41" t="s">
        <v>183</v>
      </c>
      <c r="B38" s="42" t="s">
        <v>195</v>
      </c>
      <c r="C38" s="42" t="s">
        <v>211</v>
      </c>
      <c r="D38">
        <v>4</v>
      </c>
    </row>
    <row r="39" spans="1:4">
      <c r="A39" s="41" t="s">
        <v>185</v>
      </c>
      <c r="B39" s="42" t="s">
        <v>197</v>
      </c>
      <c r="C39" s="42" t="s">
        <v>212</v>
      </c>
      <c r="D39">
        <v>4</v>
      </c>
    </row>
    <row r="40" spans="1:4">
      <c r="A40" s="41" t="s">
        <v>186</v>
      </c>
      <c r="B40" s="42" t="s">
        <v>194</v>
      </c>
      <c r="C40" s="42" t="s">
        <v>212</v>
      </c>
      <c r="D40">
        <v>4</v>
      </c>
    </row>
    <row r="41" spans="1:4">
      <c r="A41" s="41" t="s">
        <v>187</v>
      </c>
      <c r="B41" s="42" t="s">
        <v>192</v>
      </c>
      <c r="C41" s="42" t="s">
        <v>211</v>
      </c>
      <c r="D41">
        <v>4</v>
      </c>
    </row>
    <row r="45" spans="1:4">
      <c r="B45" t="s">
        <v>227</v>
      </c>
      <c r="C45">
        <v>200020957</v>
      </c>
    </row>
    <row r="46" spans="1:4">
      <c r="B46" t="s">
        <v>228</v>
      </c>
      <c r="C46">
        <v>200021126</v>
      </c>
    </row>
    <row r="47" spans="1:4">
      <c r="B47" t="s">
        <v>229</v>
      </c>
      <c r="C47">
        <v>200021257</v>
      </c>
    </row>
    <row r="48" spans="1:4">
      <c r="B48" t="s">
        <v>230</v>
      </c>
      <c r="C48">
        <v>201083026</v>
      </c>
    </row>
    <row r="49" spans="2:3">
      <c r="B49" t="s">
        <v>231</v>
      </c>
      <c r="C49">
        <v>200021505</v>
      </c>
    </row>
    <row r="50" spans="2:3">
      <c r="B50" t="s">
        <v>232</v>
      </c>
      <c r="C50">
        <v>200021525</v>
      </c>
    </row>
    <row r="51" spans="2:3">
      <c r="B51" t="s">
        <v>233</v>
      </c>
      <c r="C51">
        <v>200021860</v>
      </c>
    </row>
    <row r="52" spans="2:3">
      <c r="B52" t="s">
        <v>234</v>
      </c>
      <c r="C52">
        <v>200022001</v>
      </c>
    </row>
    <row r="53" spans="2:3">
      <c r="B53" t="s">
        <v>235</v>
      </c>
      <c r="C53">
        <v>200773930</v>
      </c>
    </row>
    <row r="54" spans="2:3">
      <c r="B54" t="s">
        <v>236</v>
      </c>
      <c r="C54">
        <v>200022393</v>
      </c>
    </row>
    <row r="55" spans="2:3">
      <c r="B55" t="s">
        <v>237</v>
      </c>
      <c r="C55">
        <v>200022421</v>
      </c>
    </row>
    <row r="56" spans="2:3">
      <c r="B56" t="s">
        <v>238</v>
      </c>
      <c r="C56">
        <v>200955592</v>
      </c>
    </row>
  </sheetData>
  <sortState xmlns:xlrd2="http://schemas.microsoft.com/office/spreadsheetml/2017/richdata2" ref="A33:D41">
    <sortCondition ref="D33:D4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2A08-EBE9-4C32-897A-5ED36399464D}">
  <sheetPr codeName="Sheet7"/>
  <dimension ref="A1:L31"/>
  <sheetViews>
    <sheetView zoomScale="85" zoomScaleNormal="85" workbookViewId="0">
      <selection activeCell="B37" sqref="B37"/>
    </sheetView>
  </sheetViews>
  <sheetFormatPr defaultColWidth="8.85546875" defaultRowHeight="12.75"/>
  <cols>
    <col min="1" max="1" width="14.7109375" style="2" bestFit="1" customWidth="1"/>
    <col min="2" max="2" width="26.28515625" style="1" customWidth="1"/>
    <col min="3" max="12" width="10.28515625" style="1" customWidth="1"/>
    <col min="13" max="16384" width="8.85546875" style="1"/>
  </cols>
  <sheetData>
    <row r="1" spans="1:12" ht="31.9" customHeight="1">
      <c r="A1" s="100" t="s">
        <v>10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</row>
    <row r="2" spans="1:12" ht="13.15" customHeight="1">
      <c r="A2" s="3"/>
      <c r="B2" s="7"/>
      <c r="C2" s="102" t="s">
        <v>11</v>
      </c>
      <c r="D2" s="102"/>
      <c r="E2" s="102"/>
      <c r="F2" s="102"/>
      <c r="G2" s="102"/>
      <c r="H2" s="102"/>
      <c r="I2" s="102"/>
      <c r="J2" s="102"/>
      <c r="K2" s="102"/>
      <c r="L2" s="102"/>
    </row>
    <row r="3" spans="1:12" ht="13.15" customHeight="1">
      <c r="A3" s="3" t="s">
        <v>12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1:12" ht="19.899999999999999" customHeight="1">
      <c r="A4" s="73" t="s">
        <v>13</v>
      </c>
      <c r="B4" s="73"/>
      <c r="C4" s="74" t="s">
        <v>14</v>
      </c>
      <c r="D4" s="74"/>
      <c r="E4" s="74"/>
      <c r="F4" s="74"/>
      <c r="G4" s="74"/>
      <c r="H4" s="74"/>
      <c r="I4" s="74"/>
      <c r="J4" s="74"/>
      <c r="K4" s="74"/>
      <c r="L4" s="74"/>
    </row>
    <row r="5" spans="1:12" ht="18" customHeight="1">
      <c r="A5" s="104" t="s">
        <v>3</v>
      </c>
      <c r="B5" s="10" t="s">
        <v>15</v>
      </c>
      <c r="C5" s="11" t="s">
        <v>16</v>
      </c>
      <c r="D5" s="12" t="s">
        <v>17</v>
      </c>
      <c r="E5" s="12" t="s">
        <v>18</v>
      </c>
      <c r="F5" s="12" t="s">
        <v>19</v>
      </c>
      <c r="G5" s="12" t="s">
        <v>20</v>
      </c>
      <c r="H5" s="12" t="s">
        <v>21</v>
      </c>
      <c r="I5" s="12" t="s">
        <v>22</v>
      </c>
      <c r="J5" s="12" t="s">
        <v>23</v>
      </c>
      <c r="K5" s="12" t="s">
        <v>24</v>
      </c>
      <c r="L5" s="12" t="s">
        <v>25</v>
      </c>
    </row>
    <row r="6" spans="1:12" ht="18" customHeight="1">
      <c r="A6" s="105"/>
      <c r="B6" s="10" t="s">
        <v>26</v>
      </c>
      <c r="C6" s="11"/>
      <c r="D6" s="12"/>
      <c r="E6" s="12"/>
      <c r="F6" s="12"/>
      <c r="G6" s="12"/>
      <c r="H6" s="12"/>
      <c r="I6" s="12"/>
      <c r="J6" s="12"/>
      <c r="K6" s="12"/>
      <c r="L6" s="12"/>
    </row>
    <row r="7" spans="1:12" ht="18" customHeight="1">
      <c r="A7" s="105"/>
      <c r="B7" s="10" t="s">
        <v>27</v>
      </c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ht="18" customHeight="1">
      <c r="A8" s="106"/>
      <c r="B8" s="10" t="s">
        <v>28</v>
      </c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 ht="18" customHeight="1">
      <c r="A9" s="101" t="s">
        <v>29</v>
      </c>
      <c r="B9" s="9" t="s">
        <v>30</v>
      </c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18" customHeight="1">
      <c r="A10" s="101"/>
      <c r="B10" s="9" t="s">
        <v>31</v>
      </c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18" customHeight="1">
      <c r="A11" s="101"/>
      <c r="B11" s="9" t="s">
        <v>32</v>
      </c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18" customHeight="1">
      <c r="A12" s="75" t="s">
        <v>33</v>
      </c>
      <c r="B12" s="9" t="s">
        <v>8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18" customHeight="1">
      <c r="A13" s="76"/>
      <c r="B13" s="9" t="s">
        <v>34</v>
      </c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8" customHeight="1">
      <c r="A14" s="76"/>
      <c r="B14" s="9" t="s">
        <v>35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18" customHeight="1">
      <c r="A15" s="75" t="s">
        <v>5</v>
      </c>
      <c r="B15" s="9" t="s">
        <v>36</v>
      </c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18" customHeight="1">
      <c r="A16" s="76"/>
      <c r="B16" s="9" t="s">
        <v>37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8" customHeight="1">
      <c r="A17" s="77"/>
      <c r="B17" s="9" t="s">
        <v>38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8" customHeight="1">
      <c r="A18" s="6" t="s">
        <v>39</v>
      </c>
      <c r="B18" s="9" t="s">
        <v>40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8" customHeight="1">
      <c r="A19" s="101" t="s">
        <v>41</v>
      </c>
      <c r="B19" s="9" t="s">
        <v>34</v>
      </c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18" customHeight="1">
      <c r="A20" s="101"/>
      <c r="B20" s="9" t="s">
        <v>42</v>
      </c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18" customHeight="1">
      <c r="A21" s="8" t="s">
        <v>43</v>
      </c>
      <c r="B21" s="9" t="s">
        <v>44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8" customHeight="1">
      <c r="A22" s="90" t="s">
        <v>45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</row>
    <row r="23" spans="1:12" ht="18" customHeight="1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</row>
    <row r="24" spans="1:12" ht="18" customHeight="1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</row>
    <row r="25" spans="1:12" ht="18" customHeight="1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</row>
    <row r="26" spans="1:12" ht="18" customHeight="1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</row>
    <row r="27" spans="1:12" ht="18" customHeight="1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</row>
    <row r="28" spans="1:12" ht="18" customHeight="1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</row>
    <row r="29" spans="1:12" ht="18" customHeight="1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</row>
    <row r="30" spans="1:12" ht="18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</row>
    <row r="31" spans="1:12" ht="18" customHeight="1"/>
  </sheetData>
  <mergeCells count="11">
    <mergeCell ref="A12:A14"/>
    <mergeCell ref="A15:A17"/>
    <mergeCell ref="A22:B30"/>
    <mergeCell ref="C22:L30"/>
    <mergeCell ref="A19:A20"/>
    <mergeCell ref="A1:L1"/>
    <mergeCell ref="A4:B4"/>
    <mergeCell ref="C4:L4"/>
    <mergeCell ref="A9:A11"/>
    <mergeCell ref="C2:L3"/>
    <mergeCell ref="A5:A8"/>
  </mergeCells>
  <phoneticPr fontId="9" type="noConversion"/>
  <pageMargins left="0" right="0" top="0.3" bottom="0.3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0374B-7149-400B-BD79-C60FAB9C6330}">
  <sheetPr codeName="Sheet8"/>
  <dimension ref="A1:R45"/>
  <sheetViews>
    <sheetView zoomScale="85" zoomScaleNormal="85" workbookViewId="0">
      <selection activeCell="C37" sqref="C37:R43"/>
    </sheetView>
  </sheetViews>
  <sheetFormatPr defaultColWidth="8.85546875" defaultRowHeight="12.75"/>
  <cols>
    <col min="1" max="1" width="14.7109375" style="2" bestFit="1" customWidth="1"/>
    <col min="2" max="2" width="26.28515625" style="1" customWidth="1"/>
    <col min="3" max="18" width="10.28515625" style="1" customWidth="1"/>
    <col min="19" max="16384" width="8.85546875" style="1"/>
  </cols>
  <sheetData>
    <row r="1" spans="1:18" ht="31.9" customHeight="1">
      <c r="A1" s="70" t="s">
        <v>46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18" ht="13.15" customHeight="1">
      <c r="A2" s="13"/>
      <c r="B2" s="14"/>
      <c r="C2" s="71" t="s">
        <v>11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18" ht="13.15" customHeight="1">
      <c r="A3" s="13" t="s">
        <v>47</v>
      </c>
      <c r="B3" s="15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</row>
    <row r="4" spans="1:18" ht="19.899999999999999" customHeight="1">
      <c r="A4" s="73" t="s">
        <v>13</v>
      </c>
      <c r="B4" s="73"/>
      <c r="C4" s="74" t="s">
        <v>48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</row>
    <row r="5" spans="1:18" ht="18" customHeight="1">
      <c r="A5" s="104" t="s">
        <v>3</v>
      </c>
      <c r="B5" s="10" t="s">
        <v>15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</row>
    <row r="6" spans="1:18" ht="18" customHeight="1">
      <c r="A6" s="105"/>
      <c r="B6" s="10" t="s">
        <v>26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8" ht="18" customHeight="1">
      <c r="A7" s="105"/>
      <c r="B7" s="10" t="s">
        <v>27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18" customHeight="1">
      <c r="A8" s="106"/>
      <c r="B8" s="10" t="s">
        <v>28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ht="18" customHeight="1">
      <c r="A9" s="101" t="s">
        <v>49</v>
      </c>
      <c r="B9" s="9" t="s">
        <v>50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ht="18" customHeight="1">
      <c r="A10" s="101"/>
      <c r="B10" s="9" t="s">
        <v>51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18" customHeight="1">
      <c r="A11" s="101"/>
      <c r="B11" s="9" t="s">
        <v>31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18" customHeight="1">
      <c r="A12" s="101"/>
      <c r="B12" s="9" t="s">
        <v>52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ht="18" customHeight="1">
      <c r="A13" s="101" t="s">
        <v>53</v>
      </c>
      <c r="B13" s="9" t="s">
        <v>30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ht="18" customHeight="1">
      <c r="A14" s="101"/>
      <c r="B14" s="9" t="s">
        <v>54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ht="18" customHeight="1">
      <c r="A15" s="101" t="s">
        <v>55</v>
      </c>
      <c r="B15" s="9" t="s">
        <v>30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ht="18" customHeight="1">
      <c r="A16" s="101"/>
      <c r="B16" s="9" t="s">
        <v>54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8" customHeight="1">
      <c r="A17" s="101" t="s">
        <v>56</v>
      </c>
      <c r="B17" s="9" t="s">
        <v>30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ht="18" customHeight="1">
      <c r="A18" s="101"/>
      <c r="B18" s="9" t="s">
        <v>54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ht="18" customHeight="1">
      <c r="A19" s="4" t="s">
        <v>57</v>
      </c>
      <c r="B19" s="9" t="s">
        <v>58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ht="18" customHeight="1">
      <c r="A20" s="101" t="s">
        <v>59</v>
      </c>
      <c r="B20" s="9" t="s">
        <v>60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ht="18" customHeight="1">
      <c r="A21" s="101"/>
      <c r="B21" s="9" t="s">
        <v>61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ht="18" customHeight="1">
      <c r="A22" s="101" t="s">
        <v>62</v>
      </c>
      <c r="B22" s="9" t="s">
        <v>50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ht="18" customHeight="1">
      <c r="A23" s="101"/>
      <c r="B23" s="9" t="s">
        <v>31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ht="18" customHeight="1">
      <c r="A24" s="101"/>
      <c r="B24" s="9" t="s">
        <v>52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ht="18" customHeight="1">
      <c r="A25" s="111" t="s">
        <v>63</v>
      </c>
      <c r="B25" s="9" t="s">
        <v>31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ht="18" customHeight="1">
      <c r="A26" s="111"/>
      <c r="B26" s="9" t="s">
        <v>64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ht="18" customHeight="1">
      <c r="A27" s="111" t="s">
        <v>65</v>
      </c>
      <c r="B27" s="9" t="s">
        <v>50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ht="18" customHeight="1">
      <c r="A28" s="111"/>
      <c r="B28" s="9" t="s">
        <v>66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ht="18" customHeight="1">
      <c r="A29" s="101" t="s">
        <v>67</v>
      </c>
      <c r="B29" s="9" t="s">
        <v>50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ht="18" customHeight="1">
      <c r="A30" s="111"/>
      <c r="B30" s="9" t="s">
        <v>68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ht="18" customHeight="1">
      <c r="A31" s="111"/>
      <c r="B31" s="9" t="s">
        <v>69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ht="18" customHeight="1">
      <c r="A32" s="4" t="s">
        <v>70</v>
      </c>
      <c r="B32" s="9" t="s">
        <v>71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ht="18" customHeight="1">
      <c r="A33" s="101" t="s">
        <v>72</v>
      </c>
      <c r="B33" s="9" t="s">
        <v>73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ht="18" customHeight="1">
      <c r="A34" s="101"/>
      <c r="B34" s="9" t="s">
        <v>74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ht="18" customHeight="1">
      <c r="A35" s="101"/>
      <c r="B35" s="9" t="s">
        <v>75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ht="18" customHeight="1">
      <c r="A36" s="101"/>
      <c r="B36" s="9" t="s">
        <v>31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ht="18" customHeight="1">
      <c r="A37" s="90" t="s">
        <v>45</v>
      </c>
      <c r="B37" s="90"/>
      <c r="C37" s="107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</row>
    <row r="38" spans="1:18" ht="18" customHeight="1">
      <c r="A38" s="91"/>
      <c r="B38" s="91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</row>
    <row r="39" spans="1:18" ht="18" customHeight="1">
      <c r="A39" s="91"/>
      <c r="B39" s="91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</row>
    <row r="40" spans="1:18" ht="18" customHeight="1">
      <c r="A40" s="91"/>
      <c r="B40" s="91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</row>
    <row r="41" spans="1:18" ht="18" customHeight="1">
      <c r="A41" s="91"/>
      <c r="B41" s="91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</row>
    <row r="42" spans="1:18" ht="18" customHeight="1">
      <c r="A42" s="91"/>
      <c r="B42" s="91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</row>
    <row r="43" spans="1:18" ht="18" customHeight="1">
      <c r="A43" s="92"/>
      <c r="B43" s="92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</row>
    <row r="44" spans="1:18" ht="18" customHeight="1">
      <c r="A44" s="1"/>
    </row>
    <row r="45" spans="1:18" ht="15">
      <c r="A45"/>
    </row>
  </sheetData>
  <mergeCells count="17">
    <mergeCell ref="A5:A8"/>
    <mergeCell ref="A15:A16"/>
    <mergeCell ref="A17:A18"/>
    <mergeCell ref="A20:A21"/>
    <mergeCell ref="A1:R1"/>
    <mergeCell ref="A37:B43"/>
    <mergeCell ref="C37:R43"/>
    <mergeCell ref="C2:R3"/>
    <mergeCell ref="A22:A24"/>
    <mergeCell ref="A25:A26"/>
    <mergeCell ref="A27:A28"/>
    <mergeCell ref="A29:A31"/>
    <mergeCell ref="A33:A36"/>
    <mergeCell ref="A4:B4"/>
    <mergeCell ref="C4:R4"/>
    <mergeCell ref="A9:A12"/>
    <mergeCell ref="A13:A14"/>
  </mergeCells>
  <phoneticPr fontId="11" type="noConversion"/>
  <pageMargins left="0" right="0" top="0.3" bottom="0.3" header="0.3" footer="0.3"/>
  <pageSetup paperSize="8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C6E7-515E-4C5B-9F45-A9EED4E26065}">
  <sheetPr codeName="Sheet9"/>
  <dimension ref="A1:R45"/>
  <sheetViews>
    <sheetView zoomScale="85" zoomScaleNormal="85" workbookViewId="0">
      <selection activeCell="Q50" sqref="Q50"/>
    </sheetView>
  </sheetViews>
  <sheetFormatPr defaultColWidth="8.85546875" defaultRowHeight="12.75"/>
  <cols>
    <col min="1" max="1" width="14.7109375" style="2" bestFit="1" customWidth="1"/>
    <col min="2" max="2" width="26.28515625" style="1" customWidth="1"/>
    <col min="3" max="18" width="10.28515625" style="1" customWidth="1"/>
    <col min="19" max="16384" width="8.85546875" style="1"/>
  </cols>
  <sheetData>
    <row r="1" spans="1:18" ht="31.9" customHeight="1">
      <c r="A1" s="70" t="s">
        <v>46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18" ht="13.15" customHeight="1">
      <c r="A2" s="13"/>
      <c r="B2" s="14"/>
      <c r="C2" s="71" t="s">
        <v>11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18" ht="13.15" customHeight="1">
      <c r="A3" s="13" t="s">
        <v>76</v>
      </c>
      <c r="B3" s="15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</row>
    <row r="4" spans="1:18" ht="19.899999999999999" customHeight="1">
      <c r="A4" s="73" t="s">
        <v>13</v>
      </c>
      <c r="B4" s="73"/>
      <c r="C4" s="74" t="s">
        <v>48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</row>
    <row r="5" spans="1:18" ht="18" customHeight="1">
      <c r="A5" s="104" t="s">
        <v>3</v>
      </c>
      <c r="B5" s="10" t="s">
        <v>15</v>
      </c>
      <c r="C5" s="10">
        <v>17</v>
      </c>
      <c r="D5" s="10">
        <v>18</v>
      </c>
      <c r="E5" s="10">
        <v>19</v>
      </c>
      <c r="F5" s="10">
        <v>20</v>
      </c>
      <c r="G5" s="10">
        <v>21</v>
      </c>
      <c r="H5" s="10">
        <v>22</v>
      </c>
      <c r="I5" s="10">
        <v>23</v>
      </c>
      <c r="J5" s="10">
        <v>24</v>
      </c>
      <c r="K5" s="10">
        <v>25</v>
      </c>
      <c r="L5" s="10">
        <v>26</v>
      </c>
      <c r="M5" s="10">
        <v>27</v>
      </c>
      <c r="N5" s="10">
        <v>28</v>
      </c>
      <c r="O5" s="10">
        <v>29</v>
      </c>
      <c r="P5" s="10">
        <v>30</v>
      </c>
      <c r="Q5" s="10">
        <v>31</v>
      </c>
      <c r="R5" s="10">
        <v>32</v>
      </c>
    </row>
    <row r="6" spans="1:18" ht="18" customHeight="1">
      <c r="A6" s="105"/>
      <c r="B6" s="10" t="s">
        <v>26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8" ht="18" customHeight="1">
      <c r="A7" s="105"/>
      <c r="B7" s="10" t="s">
        <v>27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18" customHeight="1">
      <c r="A8" s="106"/>
      <c r="B8" s="10" t="s">
        <v>28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ht="18" customHeight="1">
      <c r="A9" s="101" t="s">
        <v>49</v>
      </c>
      <c r="B9" s="9" t="s">
        <v>50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ht="18" customHeight="1">
      <c r="A10" s="101"/>
      <c r="B10" s="9" t="s">
        <v>51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18" customHeight="1">
      <c r="A11" s="101"/>
      <c r="B11" s="9" t="s">
        <v>31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18" customHeight="1">
      <c r="A12" s="101"/>
      <c r="B12" s="9" t="s">
        <v>52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ht="18" customHeight="1">
      <c r="A13" s="101" t="s">
        <v>53</v>
      </c>
      <c r="B13" s="9" t="s">
        <v>30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ht="18" customHeight="1">
      <c r="A14" s="101"/>
      <c r="B14" s="9" t="s">
        <v>54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ht="18" customHeight="1">
      <c r="A15" s="101" t="s">
        <v>55</v>
      </c>
      <c r="B15" s="9" t="s">
        <v>30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ht="18" customHeight="1">
      <c r="A16" s="101"/>
      <c r="B16" s="9" t="s">
        <v>54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8" customHeight="1">
      <c r="A17" s="101" t="s">
        <v>56</v>
      </c>
      <c r="B17" s="9" t="s">
        <v>30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ht="18" customHeight="1">
      <c r="A18" s="101"/>
      <c r="B18" s="9" t="s">
        <v>54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ht="18" customHeight="1">
      <c r="A19" s="4" t="s">
        <v>57</v>
      </c>
      <c r="B19" s="9" t="s">
        <v>58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ht="18" customHeight="1">
      <c r="A20" s="101" t="s">
        <v>59</v>
      </c>
      <c r="B20" s="9" t="s">
        <v>60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ht="18" customHeight="1">
      <c r="A21" s="101"/>
      <c r="B21" s="9" t="s">
        <v>61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ht="18" customHeight="1">
      <c r="A22" s="101" t="s">
        <v>62</v>
      </c>
      <c r="B22" s="9" t="s">
        <v>50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ht="18" customHeight="1">
      <c r="A23" s="101"/>
      <c r="B23" s="9" t="s">
        <v>31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ht="18" customHeight="1">
      <c r="A24" s="101"/>
      <c r="B24" s="9" t="s">
        <v>52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ht="18" customHeight="1">
      <c r="A25" s="111" t="s">
        <v>63</v>
      </c>
      <c r="B25" s="9" t="s">
        <v>31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ht="18" customHeight="1">
      <c r="A26" s="111"/>
      <c r="B26" s="9" t="s">
        <v>64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ht="18" customHeight="1">
      <c r="A27" s="111" t="s">
        <v>65</v>
      </c>
      <c r="B27" s="9" t="s">
        <v>50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ht="18" customHeight="1">
      <c r="A28" s="111"/>
      <c r="B28" s="9" t="s">
        <v>66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ht="18" customHeight="1">
      <c r="A29" s="101" t="s">
        <v>67</v>
      </c>
      <c r="B29" s="9" t="s">
        <v>50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ht="18" customHeight="1">
      <c r="A30" s="111"/>
      <c r="B30" s="9" t="s">
        <v>68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ht="18" customHeight="1">
      <c r="A31" s="111"/>
      <c r="B31" s="9" t="s">
        <v>69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ht="18" customHeight="1">
      <c r="A32" s="4" t="s">
        <v>77</v>
      </c>
      <c r="B32" s="9" t="s">
        <v>71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ht="18" customHeight="1">
      <c r="A33" s="101" t="s">
        <v>72</v>
      </c>
      <c r="B33" s="9" t="s">
        <v>73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ht="18" customHeight="1">
      <c r="A34" s="101"/>
      <c r="B34" s="9" t="s">
        <v>74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ht="18" customHeight="1">
      <c r="A35" s="101"/>
      <c r="B35" s="9" t="s">
        <v>75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ht="18" customHeight="1">
      <c r="A36" s="101"/>
      <c r="B36" s="9" t="s">
        <v>31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ht="18" customHeight="1">
      <c r="A37" s="90" t="s">
        <v>45</v>
      </c>
      <c r="B37" s="90"/>
      <c r="C37" s="112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</row>
    <row r="38" spans="1:18" ht="18" customHeight="1">
      <c r="A38" s="91"/>
      <c r="B38" s="91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</row>
    <row r="39" spans="1:18" ht="18" customHeight="1">
      <c r="A39" s="91"/>
      <c r="B39" s="91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</row>
    <row r="40" spans="1:18" ht="18" customHeight="1">
      <c r="A40" s="91"/>
      <c r="B40" s="91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</row>
    <row r="41" spans="1:18" ht="18" customHeight="1">
      <c r="A41" s="91"/>
      <c r="B41" s="91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</row>
    <row r="42" spans="1:18" ht="18" customHeight="1">
      <c r="A42" s="91"/>
      <c r="B42" s="91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</row>
    <row r="43" spans="1:18" ht="58.15" customHeight="1">
      <c r="A43" s="92"/>
      <c r="B43" s="92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</row>
    <row r="44" spans="1:18" ht="18" customHeight="1">
      <c r="A44" s="1"/>
    </row>
    <row r="45" spans="1:18" ht="15">
      <c r="A45"/>
    </row>
  </sheetData>
  <mergeCells count="17">
    <mergeCell ref="A27:A28"/>
    <mergeCell ref="A29:A31"/>
    <mergeCell ref="A33:A36"/>
    <mergeCell ref="A37:B43"/>
    <mergeCell ref="C37:R43"/>
    <mergeCell ref="A25:A26"/>
    <mergeCell ref="A1:R1"/>
    <mergeCell ref="C2:R3"/>
    <mergeCell ref="A4:B4"/>
    <mergeCell ref="C4:R4"/>
    <mergeCell ref="A9:A12"/>
    <mergeCell ref="A13:A14"/>
    <mergeCell ref="A15:A16"/>
    <mergeCell ref="A17:A18"/>
    <mergeCell ref="A20:A21"/>
    <mergeCell ref="A22:A24"/>
    <mergeCell ref="A5:A8"/>
  </mergeCells>
  <phoneticPr fontId="11" type="noConversion"/>
  <pageMargins left="0" right="0" top="0.3" bottom="0.3" header="0.3" footer="0.3"/>
  <pageSetup paperSize="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A03A-0408-4382-9582-C3E9FCE9172E}">
  <sheetPr codeName="Sheet10"/>
  <dimension ref="A1:R45"/>
  <sheetViews>
    <sheetView topLeftCell="A2" zoomScale="70" zoomScaleNormal="70" workbookViewId="0">
      <selection activeCell="C37" sqref="C37:R43"/>
    </sheetView>
  </sheetViews>
  <sheetFormatPr defaultColWidth="8.85546875" defaultRowHeight="12.75"/>
  <cols>
    <col min="1" max="1" width="14.7109375" style="2" bestFit="1" customWidth="1"/>
    <col min="2" max="2" width="26.28515625" style="1" customWidth="1"/>
    <col min="3" max="18" width="10.28515625" style="1" customWidth="1"/>
    <col min="19" max="16384" width="8.85546875" style="1"/>
  </cols>
  <sheetData>
    <row r="1" spans="1:18" ht="31.9" customHeight="1">
      <c r="A1" s="70" t="s">
        <v>46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18" ht="13.15" customHeight="1">
      <c r="A2" s="13"/>
      <c r="B2" s="14"/>
      <c r="C2" s="71" t="s">
        <v>11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18" ht="13.15" customHeight="1">
      <c r="A3" s="13" t="s">
        <v>76</v>
      </c>
      <c r="B3" s="15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</row>
    <row r="4" spans="1:18" ht="19.899999999999999" customHeight="1">
      <c r="A4" s="73" t="s">
        <v>13</v>
      </c>
      <c r="B4" s="73"/>
      <c r="C4" s="74" t="s">
        <v>48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</row>
    <row r="5" spans="1:18" ht="18" customHeight="1">
      <c r="A5" s="104" t="s">
        <v>3</v>
      </c>
      <c r="B5" s="10" t="s">
        <v>15</v>
      </c>
      <c r="C5" s="10">
        <v>33</v>
      </c>
      <c r="D5" s="10">
        <v>34</v>
      </c>
      <c r="E5" s="10">
        <v>35</v>
      </c>
      <c r="F5" s="10">
        <v>36</v>
      </c>
      <c r="G5" s="10">
        <v>37</v>
      </c>
      <c r="H5" s="10">
        <v>38</v>
      </c>
      <c r="I5" s="10">
        <v>39</v>
      </c>
      <c r="J5" s="10">
        <v>40</v>
      </c>
      <c r="K5" s="10">
        <v>41</v>
      </c>
      <c r="L5" s="10">
        <v>42</v>
      </c>
      <c r="M5" s="10">
        <v>43</v>
      </c>
      <c r="N5" s="10">
        <v>44</v>
      </c>
      <c r="O5" s="10">
        <v>45</v>
      </c>
      <c r="P5" s="10">
        <v>46</v>
      </c>
      <c r="Q5" s="10">
        <v>47</v>
      </c>
      <c r="R5" s="10">
        <v>48</v>
      </c>
    </row>
    <row r="6" spans="1:18" ht="18" customHeight="1">
      <c r="A6" s="105"/>
      <c r="B6" s="10" t="s">
        <v>26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8" ht="18" customHeight="1">
      <c r="A7" s="105"/>
      <c r="B7" s="10" t="s">
        <v>27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18" customHeight="1">
      <c r="A8" s="106"/>
      <c r="B8" s="10" t="s">
        <v>28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ht="18" customHeight="1">
      <c r="A9" s="101" t="s">
        <v>49</v>
      </c>
      <c r="B9" s="9" t="s">
        <v>50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ht="18" customHeight="1">
      <c r="A10" s="101"/>
      <c r="B10" s="9" t="s">
        <v>51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18" customHeight="1">
      <c r="A11" s="101"/>
      <c r="B11" s="9" t="s">
        <v>31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18" customHeight="1">
      <c r="A12" s="101"/>
      <c r="B12" s="9" t="s">
        <v>52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ht="18" customHeight="1">
      <c r="A13" s="101" t="s">
        <v>53</v>
      </c>
      <c r="B13" s="9" t="s">
        <v>30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ht="18" customHeight="1">
      <c r="A14" s="101"/>
      <c r="B14" s="9" t="s">
        <v>54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ht="18" customHeight="1">
      <c r="A15" s="101" t="s">
        <v>55</v>
      </c>
      <c r="B15" s="9" t="s">
        <v>30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ht="18" customHeight="1">
      <c r="A16" s="101"/>
      <c r="B16" s="9" t="s">
        <v>54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8" customHeight="1">
      <c r="A17" s="101" t="s">
        <v>56</v>
      </c>
      <c r="B17" s="9" t="s">
        <v>30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ht="18" customHeight="1">
      <c r="A18" s="101"/>
      <c r="B18" s="9" t="s">
        <v>54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ht="18" customHeight="1">
      <c r="A19" s="4" t="s">
        <v>57</v>
      </c>
      <c r="B19" s="9" t="s">
        <v>58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ht="18" customHeight="1">
      <c r="A20" s="101" t="s">
        <v>59</v>
      </c>
      <c r="B20" s="9" t="s">
        <v>60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ht="18" customHeight="1">
      <c r="A21" s="101"/>
      <c r="B21" s="9" t="s">
        <v>61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ht="18" customHeight="1">
      <c r="A22" s="101" t="s">
        <v>62</v>
      </c>
      <c r="B22" s="9" t="s">
        <v>50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ht="18" customHeight="1">
      <c r="A23" s="101"/>
      <c r="B23" s="9" t="s">
        <v>31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ht="18" customHeight="1">
      <c r="A24" s="101"/>
      <c r="B24" s="9" t="s">
        <v>52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ht="18" customHeight="1">
      <c r="A25" s="111" t="s">
        <v>63</v>
      </c>
      <c r="B25" s="9" t="s">
        <v>31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ht="18" customHeight="1">
      <c r="A26" s="111"/>
      <c r="B26" s="9" t="s">
        <v>64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ht="18" customHeight="1">
      <c r="A27" s="111" t="s">
        <v>65</v>
      </c>
      <c r="B27" s="9" t="s">
        <v>50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ht="18" customHeight="1">
      <c r="A28" s="111"/>
      <c r="B28" s="9" t="s">
        <v>66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ht="18" customHeight="1">
      <c r="A29" s="101" t="s">
        <v>67</v>
      </c>
      <c r="B29" s="9" t="s">
        <v>50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ht="18" customHeight="1">
      <c r="A30" s="111"/>
      <c r="B30" s="9" t="s">
        <v>68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ht="18" customHeight="1">
      <c r="A31" s="111"/>
      <c r="B31" s="9" t="s">
        <v>69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ht="18" customHeight="1">
      <c r="A32" s="4" t="s">
        <v>77</v>
      </c>
      <c r="B32" s="9" t="s">
        <v>71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ht="18" customHeight="1">
      <c r="A33" s="101" t="s">
        <v>72</v>
      </c>
      <c r="B33" s="9" t="s">
        <v>73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ht="18" customHeight="1">
      <c r="A34" s="101"/>
      <c r="B34" s="9" t="s">
        <v>74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ht="18" customHeight="1">
      <c r="A35" s="101"/>
      <c r="B35" s="9" t="s">
        <v>75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ht="18" customHeight="1">
      <c r="A36" s="101"/>
      <c r="B36" s="9" t="s">
        <v>31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ht="18" customHeight="1">
      <c r="A37" s="90" t="s">
        <v>45</v>
      </c>
      <c r="B37" s="90"/>
      <c r="C37" s="112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</row>
    <row r="38" spans="1:18" ht="18" customHeight="1">
      <c r="A38" s="91"/>
      <c r="B38" s="91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</row>
    <row r="39" spans="1:18" ht="18" customHeight="1">
      <c r="A39" s="91"/>
      <c r="B39" s="91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</row>
    <row r="40" spans="1:18" ht="18" customHeight="1">
      <c r="A40" s="91"/>
      <c r="B40" s="91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</row>
    <row r="41" spans="1:18" ht="18" customHeight="1">
      <c r="A41" s="91"/>
      <c r="B41" s="91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</row>
    <row r="42" spans="1:18" ht="18" customHeight="1">
      <c r="A42" s="91"/>
      <c r="B42" s="91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</row>
    <row r="43" spans="1:18" ht="138.6" customHeight="1">
      <c r="A43" s="92"/>
      <c r="B43" s="92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</row>
    <row r="44" spans="1:18" ht="18" customHeight="1">
      <c r="A44" s="1"/>
    </row>
    <row r="45" spans="1:18" ht="15">
      <c r="A45"/>
    </row>
  </sheetData>
  <mergeCells count="17">
    <mergeCell ref="A27:A28"/>
    <mergeCell ref="A29:A31"/>
    <mergeCell ref="A33:A36"/>
    <mergeCell ref="A37:B43"/>
    <mergeCell ref="C37:R43"/>
    <mergeCell ref="A25:A26"/>
    <mergeCell ref="A1:R1"/>
    <mergeCell ref="C2:R3"/>
    <mergeCell ref="A4:B4"/>
    <mergeCell ref="C4:R4"/>
    <mergeCell ref="A9:A12"/>
    <mergeCell ref="A13:A14"/>
    <mergeCell ref="A15:A16"/>
    <mergeCell ref="A17:A18"/>
    <mergeCell ref="A20:A21"/>
    <mergeCell ref="A22:A24"/>
    <mergeCell ref="A5:A8"/>
  </mergeCells>
  <phoneticPr fontId="11" type="noConversion"/>
  <pageMargins left="0" right="0" top="0.3" bottom="0.3" header="0.3" footer="0.3"/>
  <pageSetup paperSize="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79E0E-2E86-4864-BCF8-AE1594823E17}">
  <sheetPr codeName="Sheet11"/>
  <dimension ref="A1:AE88"/>
  <sheetViews>
    <sheetView topLeftCell="A2" zoomScale="85" zoomScaleNormal="85" workbookViewId="0">
      <selection activeCell="I32" sqref="I32"/>
    </sheetView>
  </sheetViews>
  <sheetFormatPr defaultColWidth="8.85546875" defaultRowHeight="12.75"/>
  <cols>
    <col min="1" max="1" width="14.7109375" style="2" bestFit="1" customWidth="1"/>
    <col min="2" max="2" width="26.28515625" style="1" customWidth="1"/>
    <col min="3" max="18" width="10.28515625" style="1" customWidth="1"/>
    <col min="19" max="16384" width="8.85546875" style="1"/>
  </cols>
  <sheetData>
    <row r="1" spans="1:31" ht="31.9" customHeight="1">
      <c r="A1" s="70" t="s">
        <v>46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31" ht="13.15" customHeight="1">
      <c r="A2" s="13"/>
      <c r="B2" s="14"/>
      <c r="C2" s="71" t="s">
        <v>11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31" ht="13.15" customHeight="1">
      <c r="A3" s="13" t="s">
        <v>76</v>
      </c>
      <c r="B3" s="15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</row>
    <row r="4" spans="1:31" ht="19.899999999999999" customHeight="1">
      <c r="A4" s="73" t="s">
        <v>13</v>
      </c>
      <c r="B4" s="73"/>
      <c r="C4" s="74" t="s">
        <v>48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</row>
    <row r="5" spans="1:31" ht="18" customHeight="1">
      <c r="A5" s="104" t="s">
        <v>3</v>
      </c>
      <c r="B5" s="10" t="s">
        <v>15</v>
      </c>
      <c r="C5" s="10">
        <v>49</v>
      </c>
      <c r="D5" s="10">
        <v>50</v>
      </c>
      <c r="E5" s="10">
        <v>51</v>
      </c>
      <c r="F5" s="10">
        <v>52</v>
      </c>
      <c r="G5" s="10">
        <v>53</v>
      </c>
      <c r="H5" s="10">
        <v>54</v>
      </c>
      <c r="I5" s="10">
        <v>55</v>
      </c>
      <c r="J5" s="10">
        <v>56</v>
      </c>
      <c r="K5" s="10">
        <v>57</v>
      </c>
      <c r="L5" s="10">
        <v>58</v>
      </c>
      <c r="M5" s="10">
        <v>59</v>
      </c>
      <c r="N5" s="10">
        <v>60</v>
      </c>
      <c r="O5" s="10">
        <v>61</v>
      </c>
      <c r="P5" s="10">
        <v>62</v>
      </c>
      <c r="Q5" s="10">
        <v>63</v>
      </c>
      <c r="R5" s="10">
        <v>64</v>
      </c>
    </row>
    <row r="6" spans="1:31" ht="18" customHeight="1">
      <c r="A6" s="105"/>
      <c r="B6" s="10" t="s">
        <v>26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31" ht="18" customHeight="1">
      <c r="A7" s="105"/>
      <c r="B7" s="10" t="s">
        <v>27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31" ht="18" customHeight="1">
      <c r="A8" s="106"/>
      <c r="B8" s="10" t="s">
        <v>28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W8"/>
      <c r="AE8"/>
    </row>
    <row r="9" spans="1:31" ht="18" customHeight="1">
      <c r="A9" s="101" t="s">
        <v>49</v>
      </c>
      <c r="B9" s="9" t="s">
        <v>50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31" ht="18" customHeight="1">
      <c r="A10" s="101"/>
      <c r="B10" s="9" t="s">
        <v>51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31" ht="18" customHeight="1">
      <c r="A11" s="101"/>
      <c r="B11" s="9" t="s">
        <v>31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31" ht="18" customHeight="1">
      <c r="A12" s="101"/>
      <c r="B12" s="9" t="s">
        <v>52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31" ht="18" customHeight="1">
      <c r="A13" s="101" t="s">
        <v>53</v>
      </c>
      <c r="B13" s="9" t="s">
        <v>30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31" ht="18" customHeight="1">
      <c r="A14" s="101"/>
      <c r="B14" s="9" t="s">
        <v>54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31" ht="18" customHeight="1">
      <c r="A15" s="101" t="s">
        <v>55</v>
      </c>
      <c r="B15" s="9" t="s">
        <v>30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AC15"/>
    </row>
    <row r="16" spans="1:31" ht="18" customHeight="1">
      <c r="A16" s="101"/>
      <c r="B16" s="9" t="s">
        <v>54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28" ht="18" customHeight="1">
      <c r="A17" s="101" t="s">
        <v>56</v>
      </c>
      <c r="B17" s="9" t="s">
        <v>30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U17"/>
    </row>
    <row r="18" spans="1:28" ht="18" customHeight="1">
      <c r="A18" s="101"/>
      <c r="B18" s="9" t="s">
        <v>54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28" ht="18" customHeight="1">
      <c r="A19" s="90" t="s">
        <v>57</v>
      </c>
      <c r="B19" s="22" t="s">
        <v>78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28" ht="18" customHeight="1">
      <c r="A20" s="92"/>
      <c r="B20" s="9" t="s">
        <v>58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28" ht="18" customHeight="1">
      <c r="A21" s="101" t="s">
        <v>59</v>
      </c>
      <c r="B21" s="9" t="s">
        <v>60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28" ht="18" customHeight="1">
      <c r="A22" s="101"/>
      <c r="B22" s="9" t="s">
        <v>61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28" ht="18" customHeight="1">
      <c r="A23" s="101" t="s">
        <v>62</v>
      </c>
      <c r="B23" s="9" t="s">
        <v>50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28" ht="18" customHeight="1">
      <c r="A24" s="101"/>
      <c r="B24" s="9" t="s">
        <v>31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28" ht="18" customHeight="1">
      <c r="A25" s="101"/>
      <c r="B25" s="9" t="s">
        <v>52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28" ht="18" customHeight="1">
      <c r="A26" s="111" t="s">
        <v>63</v>
      </c>
      <c r="B26" s="9" t="s">
        <v>31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28" ht="18" customHeight="1">
      <c r="A27" s="111"/>
      <c r="B27" s="9" t="s">
        <v>64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AB27"/>
    </row>
    <row r="28" spans="1:28" ht="18" customHeight="1">
      <c r="A28" s="111" t="s">
        <v>65</v>
      </c>
      <c r="B28" s="9" t="s">
        <v>50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28" ht="18" customHeight="1">
      <c r="A29" s="111"/>
      <c r="B29" s="9" t="s">
        <v>66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28" ht="18" customHeight="1">
      <c r="A30" s="101" t="s">
        <v>67</v>
      </c>
      <c r="B30" s="9" t="s">
        <v>50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28" ht="18" customHeight="1">
      <c r="A31" s="111"/>
      <c r="B31" s="9" t="s">
        <v>68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28" ht="18" customHeight="1">
      <c r="A32" s="111"/>
      <c r="B32" s="9" t="s">
        <v>69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28" ht="18" customHeight="1">
      <c r="A33" s="4" t="s">
        <v>77</v>
      </c>
      <c r="B33" s="9" t="s">
        <v>71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28" ht="18" customHeight="1">
      <c r="A34" s="101" t="s">
        <v>72</v>
      </c>
      <c r="B34" s="9" t="s">
        <v>73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28" ht="18" customHeight="1">
      <c r="A35" s="101"/>
      <c r="B35" s="9" t="s">
        <v>74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28" ht="18" customHeight="1">
      <c r="A36" s="101"/>
      <c r="B36" s="9" t="s">
        <v>75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28" ht="18" customHeight="1">
      <c r="A37" s="101"/>
      <c r="B37" s="9" t="s">
        <v>31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AA37"/>
    </row>
    <row r="38" spans="1:28" ht="18" customHeight="1">
      <c r="A38" s="81" t="s">
        <v>45</v>
      </c>
      <c r="B38" s="83"/>
      <c r="C38" s="113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5"/>
    </row>
    <row r="39" spans="1:28" ht="18" customHeight="1">
      <c r="A39" s="84"/>
      <c r="B39" s="86"/>
      <c r="C39" s="116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8"/>
    </row>
    <row r="40" spans="1:28" ht="18" customHeight="1">
      <c r="A40" s="84"/>
      <c r="B40" s="86"/>
      <c r="C40" s="116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8"/>
    </row>
    <row r="41" spans="1:28" ht="18" customHeight="1">
      <c r="A41" s="84"/>
      <c r="B41" s="86"/>
      <c r="C41" s="116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8"/>
    </row>
    <row r="42" spans="1:28" ht="18" customHeight="1">
      <c r="A42" s="84"/>
      <c r="B42" s="86"/>
      <c r="C42" s="116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8"/>
      <c r="AB42"/>
    </row>
    <row r="43" spans="1:28" ht="82.9" customHeight="1">
      <c r="A43" s="84"/>
      <c r="B43" s="86"/>
      <c r="C43" s="116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8"/>
    </row>
    <row r="44" spans="1:28" ht="18" customHeight="1">
      <c r="A44" s="87"/>
      <c r="B44" s="89"/>
      <c r="C44" s="119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1"/>
    </row>
    <row r="45" spans="1:28">
      <c r="A45" s="81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3"/>
    </row>
    <row r="46" spans="1:28" ht="14.45" customHeight="1">
      <c r="A46" s="84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6"/>
    </row>
    <row r="47" spans="1:28">
      <c r="A47" s="84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6"/>
    </row>
    <row r="48" spans="1:28">
      <c r="A48" s="84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6"/>
    </row>
    <row r="49" spans="1:18">
      <c r="A49" s="84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6"/>
    </row>
    <row r="50" spans="1:18">
      <c r="A50" s="84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6"/>
    </row>
    <row r="51" spans="1:18">
      <c r="A51" s="84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6"/>
    </row>
    <row r="52" spans="1:18">
      <c r="A52" s="84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6"/>
    </row>
    <row r="53" spans="1:18">
      <c r="A53" s="84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6"/>
    </row>
    <row r="54" spans="1:18">
      <c r="A54" s="84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6"/>
    </row>
    <row r="55" spans="1:18">
      <c r="A55" s="84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6"/>
    </row>
    <row r="56" spans="1:18">
      <c r="A56" s="84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6"/>
    </row>
    <row r="57" spans="1:18">
      <c r="A57" s="84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6"/>
    </row>
    <row r="58" spans="1:18">
      <c r="A58" s="84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6"/>
    </row>
    <row r="59" spans="1:18">
      <c r="A59" s="84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6"/>
    </row>
    <row r="60" spans="1:18">
      <c r="A60" s="84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6"/>
    </row>
    <row r="61" spans="1:18">
      <c r="A61" s="84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6"/>
    </row>
    <row r="62" spans="1:18">
      <c r="A62" s="84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6"/>
    </row>
    <row r="63" spans="1:18">
      <c r="A63" s="84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6"/>
    </row>
    <row r="64" spans="1:18">
      <c r="A64" s="84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6"/>
    </row>
    <row r="65" spans="1:21">
      <c r="A65" s="84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6"/>
    </row>
    <row r="66" spans="1:21">
      <c r="A66" s="84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6"/>
    </row>
    <row r="67" spans="1:21">
      <c r="A67" s="84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6"/>
    </row>
    <row r="68" spans="1:21">
      <c r="A68" s="84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6"/>
    </row>
    <row r="69" spans="1:21">
      <c r="A69" s="84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6"/>
    </row>
    <row r="70" spans="1:21">
      <c r="A70" s="84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6"/>
    </row>
    <row r="71" spans="1:21" ht="15">
      <c r="A71" s="84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6"/>
      <c r="U71"/>
    </row>
    <row r="72" spans="1:21">
      <c r="A72" s="84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6"/>
    </row>
    <row r="73" spans="1:21">
      <c r="A73" s="84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6"/>
    </row>
    <row r="74" spans="1:21">
      <c r="A74" s="84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6"/>
    </row>
    <row r="75" spans="1:21" ht="14.45" customHeight="1">
      <c r="A75" s="84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6"/>
    </row>
    <row r="76" spans="1:21">
      <c r="A76" s="84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6"/>
    </row>
    <row r="77" spans="1:21">
      <c r="A77" s="84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6"/>
    </row>
    <row r="78" spans="1:21">
      <c r="A78" s="84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6"/>
    </row>
    <row r="79" spans="1:21">
      <c r="A79" s="84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6"/>
    </row>
    <row r="80" spans="1:21">
      <c r="A80" s="84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6"/>
    </row>
    <row r="81" spans="1:28">
      <c r="A81" s="84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6"/>
    </row>
    <row r="82" spans="1:28">
      <c r="A82" s="87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9"/>
    </row>
    <row r="88" spans="1:28" ht="15">
      <c r="AB88"/>
    </row>
  </sheetData>
  <mergeCells count="19">
    <mergeCell ref="A34:A37"/>
    <mergeCell ref="A38:B44"/>
    <mergeCell ref="C38:R44"/>
    <mergeCell ref="A45:R82"/>
    <mergeCell ref="A26:A27"/>
    <mergeCell ref="A28:A29"/>
    <mergeCell ref="A30:A32"/>
    <mergeCell ref="A1:R1"/>
    <mergeCell ref="C2:R3"/>
    <mergeCell ref="A4:B4"/>
    <mergeCell ref="C4:R4"/>
    <mergeCell ref="A9:A12"/>
    <mergeCell ref="A5:A8"/>
    <mergeCell ref="A13:A14"/>
    <mergeCell ref="A15:A16"/>
    <mergeCell ref="A17:A18"/>
    <mergeCell ref="A21:A22"/>
    <mergeCell ref="A23:A25"/>
    <mergeCell ref="A19:A20"/>
  </mergeCells>
  <phoneticPr fontId="11" type="noConversion"/>
  <pageMargins left="0" right="0" top="0.3" bottom="0.3" header="0.3" footer="0.3"/>
  <pageSetup paperSize="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8A41-3753-4B2B-93DC-0D482D6CD982}">
  <sheetPr codeName="Sheet12"/>
  <dimension ref="A1:T89"/>
  <sheetViews>
    <sheetView zoomScale="85" zoomScaleNormal="85" workbookViewId="0">
      <selection activeCell="J27" sqref="J27"/>
    </sheetView>
  </sheetViews>
  <sheetFormatPr defaultColWidth="8.85546875" defaultRowHeight="12.75"/>
  <cols>
    <col min="1" max="1" width="14.7109375" style="2" bestFit="1" customWidth="1"/>
    <col min="2" max="2" width="26.28515625" style="1" customWidth="1"/>
    <col min="3" max="17" width="10.28515625" style="1" customWidth="1"/>
    <col min="18" max="19" width="5.7109375" style="1" customWidth="1"/>
    <col min="20" max="16384" width="8.85546875" style="1"/>
  </cols>
  <sheetData>
    <row r="1" spans="1:20" ht="31.9" customHeight="1">
      <c r="A1" s="70" t="s">
        <v>46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85"/>
    </row>
    <row r="2" spans="1:20" ht="13.15" customHeight="1">
      <c r="A2" s="13"/>
      <c r="B2" s="14"/>
      <c r="C2" s="71" t="s">
        <v>11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85"/>
    </row>
    <row r="3" spans="1:20" ht="13.15" customHeight="1">
      <c r="A3" s="13" t="s">
        <v>76</v>
      </c>
      <c r="B3" s="15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85"/>
    </row>
    <row r="4" spans="1:20" ht="19.899999999999999" customHeight="1">
      <c r="A4" s="73" t="s">
        <v>13</v>
      </c>
      <c r="B4" s="73"/>
      <c r="C4" s="74" t="s">
        <v>48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85"/>
    </row>
    <row r="5" spans="1:20" ht="18" customHeight="1">
      <c r="A5" s="104" t="s">
        <v>3</v>
      </c>
      <c r="B5" s="10" t="s">
        <v>15</v>
      </c>
      <c r="C5" s="10">
        <v>65</v>
      </c>
      <c r="D5" s="10">
        <v>66</v>
      </c>
      <c r="E5" s="10">
        <v>67</v>
      </c>
      <c r="F5" s="10">
        <v>68</v>
      </c>
      <c r="G5" s="10">
        <v>69</v>
      </c>
      <c r="H5" s="10">
        <v>70</v>
      </c>
      <c r="I5" s="10">
        <v>71</v>
      </c>
      <c r="J5" s="10">
        <v>72</v>
      </c>
      <c r="K5" s="10">
        <v>73</v>
      </c>
      <c r="L5" s="10">
        <v>74</v>
      </c>
      <c r="M5" s="10">
        <v>75</v>
      </c>
      <c r="N5" s="10">
        <v>76</v>
      </c>
      <c r="O5" s="10">
        <v>77</v>
      </c>
      <c r="P5" s="10">
        <v>78</v>
      </c>
      <c r="Q5" s="10">
        <v>79</v>
      </c>
      <c r="R5" s="122">
        <v>80</v>
      </c>
      <c r="S5" s="123"/>
      <c r="T5" s="85"/>
    </row>
    <row r="6" spans="1:20" ht="18" customHeight="1">
      <c r="A6" s="105"/>
      <c r="B6" s="10" t="s">
        <v>26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85"/>
    </row>
    <row r="7" spans="1:20" ht="18" customHeight="1">
      <c r="A7" s="105"/>
      <c r="B7" s="10" t="s">
        <v>27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85"/>
    </row>
    <row r="8" spans="1:20" ht="18" customHeight="1">
      <c r="A8" s="106"/>
      <c r="B8" s="10" t="s">
        <v>28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85"/>
    </row>
    <row r="9" spans="1:20" ht="18" customHeight="1">
      <c r="A9" s="101" t="s">
        <v>49</v>
      </c>
      <c r="B9" s="9" t="s">
        <v>50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85"/>
    </row>
    <row r="10" spans="1:20" ht="18" customHeight="1">
      <c r="A10" s="101"/>
      <c r="B10" s="9" t="s">
        <v>51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85"/>
    </row>
    <row r="11" spans="1:20" ht="18" customHeight="1">
      <c r="A11" s="101"/>
      <c r="B11" s="9" t="s">
        <v>31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85"/>
    </row>
    <row r="12" spans="1:20" ht="18" customHeight="1">
      <c r="A12" s="101"/>
      <c r="B12" s="9" t="s">
        <v>52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85"/>
    </row>
    <row r="13" spans="1:20" ht="18" customHeight="1">
      <c r="A13" s="101" t="s">
        <v>53</v>
      </c>
      <c r="B13" s="9" t="s">
        <v>30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85"/>
    </row>
    <row r="14" spans="1:20" ht="18" customHeight="1">
      <c r="A14" s="101"/>
      <c r="B14" s="9" t="s">
        <v>54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85"/>
    </row>
    <row r="15" spans="1:20" ht="18" customHeight="1">
      <c r="A15" s="101" t="s">
        <v>55</v>
      </c>
      <c r="B15" s="9" t="s">
        <v>30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85"/>
    </row>
    <row r="16" spans="1:20" ht="18" customHeight="1">
      <c r="A16" s="101"/>
      <c r="B16" s="9" t="s">
        <v>54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85"/>
    </row>
    <row r="17" spans="1:20" ht="18" customHeight="1">
      <c r="A17" s="101" t="s">
        <v>56</v>
      </c>
      <c r="B17" s="9" t="s">
        <v>30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85"/>
    </row>
    <row r="18" spans="1:20" ht="18" customHeight="1">
      <c r="A18" s="101"/>
      <c r="B18" s="9" t="s">
        <v>54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85"/>
    </row>
    <row r="19" spans="1:20" ht="18" customHeight="1">
      <c r="A19" s="4" t="s">
        <v>57</v>
      </c>
      <c r="B19" s="9" t="s">
        <v>58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85"/>
    </row>
    <row r="20" spans="1:20" ht="18" customHeight="1">
      <c r="A20" s="101" t="s">
        <v>59</v>
      </c>
      <c r="B20" s="9" t="s">
        <v>60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85"/>
    </row>
    <row r="21" spans="1:20" ht="18" customHeight="1">
      <c r="A21" s="101"/>
      <c r="B21" s="9" t="s">
        <v>61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85"/>
    </row>
    <row r="22" spans="1:20" ht="18" customHeight="1">
      <c r="A22" s="101" t="s">
        <v>62</v>
      </c>
      <c r="B22" s="9" t="s">
        <v>50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85"/>
    </row>
    <row r="23" spans="1:20" ht="18" customHeight="1">
      <c r="A23" s="101"/>
      <c r="B23" s="9" t="s">
        <v>31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85"/>
    </row>
    <row r="24" spans="1:20" ht="18" customHeight="1">
      <c r="A24" s="101"/>
      <c r="B24" s="9" t="s">
        <v>52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85"/>
    </row>
    <row r="25" spans="1:20" ht="18" customHeight="1">
      <c r="A25" s="111" t="s">
        <v>63</v>
      </c>
      <c r="B25" s="9" t="s">
        <v>31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85"/>
    </row>
    <row r="26" spans="1:20" ht="18" customHeight="1">
      <c r="A26" s="111"/>
      <c r="B26" s="9" t="s">
        <v>64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85"/>
    </row>
    <row r="27" spans="1:20" ht="18" customHeight="1">
      <c r="A27" s="111" t="s">
        <v>65</v>
      </c>
      <c r="B27" s="9" t="s">
        <v>50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85"/>
    </row>
    <row r="28" spans="1:20" ht="18" customHeight="1">
      <c r="A28" s="111"/>
      <c r="B28" s="9" t="s">
        <v>66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85"/>
    </row>
    <row r="29" spans="1:20" ht="18" customHeight="1">
      <c r="A29" s="101" t="s">
        <v>67</v>
      </c>
      <c r="B29" s="9" t="s">
        <v>50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85"/>
    </row>
    <row r="30" spans="1:20" ht="18" customHeight="1">
      <c r="A30" s="111"/>
      <c r="B30" s="9" t="s">
        <v>68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85"/>
    </row>
    <row r="31" spans="1:20" ht="18" customHeight="1">
      <c r="A31" s="111"/>
      <c r="B31" s="9" t="s">
        <v>69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85"/>
    </row>
    <row r="32" spans="1:20" ht="18" customHeight="1">
      <c r="A32" s="4" t="s">
        <v>77</v>
      </c>
      <c r="B32" s="9" t="s">
        <v>71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85"/>
    </row>
    <row r="33" spans="1:20" ht="18" customHeight="1">
      <c r="A33" s="101" t="s">
        <v>72</v>
      </c>
      <c r="B33" s="9" t="s">
        <v>73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85"/>
    </row>
    <row r="34" spans="1:20" ht="18" customHeight="1">
      <c r="A34" s="101"/>
      <c r="B34" s="9" t="s">
        <v>74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85"/>
    </row>
    <row r="35" spans="1:20" ht="18" customHeight="1">
      <c r="A35" s="101"/>
      <c r="B35" s="9" t="s">
        <v>75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85"/>
    </row>
    <row r="36" spans="1:20" ht="18" customHeight="1">
      <c r="A36" s="101"/>
      <c r="B36" s="9" t="s">
        <v>31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85"/>
    </row>
    <row r="37" spans="1:20" ht="18" customHeight="1">
      <c r="A37" s="90" t="s">
        <v>45</v>
      </c>
      <c r="B37" s="90"/>
      <c r="C37" s="124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85"/>
    </row>
    <row r="38" spans="1:20" ht="18" customHeight="1">
      <c r="A38" s="91"/>
      <c r="B38" s="91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85"/>
    </row>
    <row r="39" spans="1:20" ht="18" customHeight="1">
      <c r="A39" s="91"/>
      <c r="B39" s="91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85"/>
    </row>
    <row r="40" spans="1:20" ht="18" customHeight="1">
      <c r="A40" s="91"/>
      <c r="B40" s="91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85"/>
    </row>
    <row r="41" spans="1:20" ht="18" customHeight="1">
      <c r="A41" s="91"/>
      <c r="B41" s="91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85"/>
    </row>
    <row r="42" spans="1:20" ht="18" customHeight="1">
      <c r="A42" s="91"/>
      <c r="B42" s="91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85"/>
    </row>
    <row r="43" spans="1:20" ht="18" customHeight="1">
      <c r="A43" s="91"/>
      <c r="B43" s="91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85"/>
    </row>
    <row r="44" spans="1:20" ht="18" customHeight="1">
      <c r="A44" s="91"/>
      <c r="B44" s="91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85"/>
    </row>
    <row r="45" spans="1:20" ht="18" customHeight="1">
      <c r="A45" s="91"/>
      <c r="B45" s="91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85"/>
    </row>
    <row r="46" spans="1:20" ht="55.15" customHeight="1">
      <c r="A46" s="92"/>
      <c r="B46" s="92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85"/>
    </row>
    <row r="47" spans="1:20" ht="18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</row>
    <row r="48" spans="1:20" ht="14.45" customHeight="1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</row>
    <row r="49" spans="1:20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</row>
    <row r="50" spans="1:2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</row>
    <row r="51" spans="1:20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</row>
    <row r="52" spans="1:20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</row>
    <row r="53" spans="1:20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</row>
    <row r="54" spans="1:20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</row>
    <row r="55" spans="1:20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</row>
    <row r="56" spans="1:20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</row>
    <row r="57" spans="1:20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</row>
    <row r="58" spans="1:20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</row>
    <row r="59" spans="1:20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</row>
    <row r="60" spans="1:2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</row>
    <row r="61" spans="1:20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</row>
    <row r="62" spans="1:20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</row>
    <row r="63" spans="1:20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</row>
    <row r="64" spans="1:20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</row>
    <row r="65" spans="1:20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</row>
    <row r="66" spans="1:20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</row>
    <row r="67" spans="1:20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</row>
    <row r="68" spans="1:20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</row>
    <row r="69" spans="1:20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</row>
    <row r="70" spans="1:2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</row>
    <row r="71" spans="1:20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</row>
    <row r="72" spans="1:20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</row>
    <row r="73" spans="1:20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</row>
    <row r="74" spans="1:20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</row>
    <row r="75" spans="1:20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</row>
    <row r="76" spans="1:20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</row>
    <row r="77" spans="1:20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</row>
    <row r="78" spans="1:20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</row>
    <row r="79" spans="1:20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</row>
    <row r="80" spans="1:2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</row>
    <row r="81" spans="1:20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</row>
    <row r="82" spans="1:20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</row>
    <row r="83" spans="1:20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</row>
    <row r="84" spans="1:20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</row>
    <row r="85" spans="1:20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</row>
    <row r="86" spans="1:20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</row>
    <row r="87" spans="1:20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</row>
    <row r="88" spans="1:20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</row>
    <row r="89" spans="1:20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</row>
  </sheetData>
  <mergeCells count="20">
    <mergeCell ref="A47:T89"/>
    <mergeCell ref="T1:T46"/>
    <mergeCell ref="A27:A28"/>
    <mergeCell ref="A29:A31"/>
    <mergeCell ref="A33:A36"/>
    <mergeCell ref="A37:B46"/>
    <mergeCell ref="C37:S46"/>
    <mergeCell ref="A25:A26"/>
    <mergeCell ref="A1:S1"/>
    <mergeCell ref="C2:S3"/>
    <mergeCell ref="A4:B4"/>
    <mergeCell ref="C4:S4"/>
    <mergeCell ref="A9:A12"/>
    <mergeCell ref="A13:A14"/>
    <mergeCell ref="A15:A16"/>
    <mergeCell ref="A17:A18"/>
    <mergeCell ref="A20:A21"/>
    <mergeCell ref="A22:A24"/>
    <mergeCell ref="A5:A8"/>
    <mergeCell ref="R5:S5"/>
  </mergeCells>
  <phoneticPr fontId="11" type="noConversion"/>
  <pageMargins left="0" right="0" top="0.3" bottom="0.3" header="0.3" footer="0.3"/>
  <pageSetup paperSize="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01D1-C8DB-4167-91FA-68B184418DEE}">
  <sheetPr codeName="Sheet13"/>
  <dimension ref="A1:R70"/>
  <sheetViews>
    <sheetView zoomScale="85" zoomScaleNormal="85" workbookViewId="0">
      <selection activeCell="F25" sqref="F25"/>
    </sheetView>
  </sheetViews>
  <sheetFormatPr defaultColWidth="8.85546875" defaultRowHeight="12.75"/>
  <cols>
    <col min="1" max="1" width="14.7109375" style="2" bestFit="1" customWidth="1"/>
    <col min="2" max="2" width="26.28515625" style="1" customWidth="1"/>
    <col min="3" max="18" width="10.28515625" style="1" customWidth="1"/>
    <col min="19" max="16384" width="8.85546875" style="1"/>
  </cols>
  <sheetData>
    <row r="1" spans="1:18" ht="31.9" customHeight="1">
      <c r="A1" s="70" t="s">
        <v>46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18" ht="13.15" customHeight="1">
      <c r="A2" s="13"/>
      <c r="B2" s="14"/>
      <c r="C2" s="71" t="s">
        <v>11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18" ht="13.15" customHeight="1">
      <c r="A3" s="13" t="s">
        <v>76</v>
      </c>
      <c r="B3" s="15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</row>
    <row r="4" spans="1:18" ht="19.899999999999999" customHeight="1">
      <c r="A4" s="73" t="s">
        <v>13</v>
      </c>
      <c r="B4" s="73"/>
      <c r="C4" s="74" t="s">
        <v>48</v>
      </c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</row>
    <row r="5" spans="1:18" ht="18" customHeight="1">
      <c r="A5" s="104" t="s">
        <v>3</v>
      </c>
      <c r="B5" s="10" t="s">
        <v>15</v>
      </c>
      <c r="C5" s="10">
        <v>81</v>
      </c>
      <c r="D5" s="10">
        <v>82</v>
      </c>
      <c r="E5" s="10">
        <v>83</v>
      </c>
      <c r="F5" s="10">
        <v>84</v>
      </c>
      <c r="G5" s="10">
        <v>85</v>
      </c>
      <c r="H5" s="10">
        <v>86</v>
      </c>
      <c r="I5" s="10">
        <v>87</v>
      </c>
      <c r="J5" s="10">
        <v>88</v>
      </c>
      <c r="K5" s="10">
        <v>89</v>
      </c>
      <c r="L5" s="10">
        <v>90</v>
      </c>
      <c r="M5" s="10">
        <v>91</v>
      </c>
      <c r="N5" s="10">
        <v>92</v>
      </c>
      <c r="O5" s="10">
        <v>93</v>
      </c>
      <c r="P5" s="10">
        <v>94</v>
      </c>
      <c r="Q5" s="10">
        <v>95</v>
      </c>
      <c r="R5" s="10">
        <v>96</v>
      </c>
    </row>
    <row r="6" spans="1:18" ht="18" customHeight="1">
      <c r="A6" s="105"/>
      <c r="B6" s="10" t="s">
        <v>26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8" ht="18" customHeight="1">
      <c r="A7" s="105"/>
      <c r="B7" s="10" t="s">
        <v>27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18" customHeight="1">
      <c r="A8" s="106"/>
      <c r="B8" s="10" t="s">
        <v>28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ht="18" customHeight="1">
      <c r="A9" s="101" t="s">
        <v>49</v>
      </c>
      <c r="B9" s="9" t="s">
        <v>50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ht="18" customHeight="1">
      <c r="A10" s="101"/>
      <c r="B10" s="9" t="s">
        <v>51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18" customHeight="1">
      <c r="A11" s="101"/>
      <c r="B11" s="9" t="s">
        <v>31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18" customHeight="1">
      <c r="A12" s="101"/>
      <c r="B12" s="9" t="s">
        <v>52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ht="18" customHeight="1">
      <c r="A13" s="101" t="s">
        <v>53</v>
      </c>
      <c r="B13" s="9" t="s">
        <v>30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ht="18" customHeight="1">
      <c r="A14" s="101"/>
      <c r="B14" s="9" t="s">
        <v>54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ht="18" customHeight="1">
      <c r="A15" s="101" t="s">
        <v>55</v>
      </c>
      <c r="B15" s="9" t="s">
        <v>30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ht="18" customHeight="1">
      <c r="A16" s="101"/>
      <c r="B16" s="9" t="s">
        <v>54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8" customHeight="1">
      <c r="A17" s="101" t="s">
        <v>56</v>
      </c>
      <c r="B17" s="9" t="s">
        <v>30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ht="18" customHeight="1">
      <c r="A18" s="101"/>
      <c r="B18" s="9" t="s">
        <v>54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ht="18" customHeight="1">
      <c r="A19" s="4" t="s">
        <v>57</v>
      </c>
      <c r="B19" s="9" t="s">
        <v>58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ht="18" customHeight="1">
      <c r="A20" s="101" t="s">
        <v>59</v>
      </c>
      <c r="B20" s="9" t="s">
        <v>60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ht="18" customHeight="1">
      <c r="A21" s="101"/>
      <c r="B21" s="9" t="s">
        <v>61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ht="18" customHeight="1">
      <c r="A22" s="101" t="s">
        <v>62</v>
      </c>
      <c r="B22" s="9" t="s">
        <v>50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ht="18" customHeight="1">
      <c r="A23" s="101"/>
      <c r="B23" s="9" t="s">
        <v>31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ht="18" customHeight="1">
      <c r="A24" s="101"/>
      <c r="B24" s="9" t="s">
        <v>52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ht="18" customHeight="1">
      <c r="A25" s="111" t="s">
        <v>63</v>
      </c>
      <c r="B25" s="9" t="s">
        <v>31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ht="18" customHeight="1">
      <c r="A26" s="111"/>
      <c r="B26" s="9" t="s">
        <v>64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ht="18" customHeight="1">
      <c r="A27" s="111" t="s">
        <v>65</v>
      </c>
      <c r="B27" s="9" t="s">
        <v>50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ht="18" customHeight="1">
      <c r="A28" s="111"/>
      <c r="B28" s="9" t="s">
        <v>66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ht="18" customHeight="1">
      <c r="A29" s="101" t="s">
        <v>67</v>
      </c>
      <c r="B29" s="9" t="s">
        <v>50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ht="18" customHeight="1">
      <c r="A30" s="111"/>
      <c r="B30" s="9" t="s">
        <v>68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ht="18" customHeight="1">
      <c r="A31" s="111"/>
      <c r="B31" s="9" t="s">
        <v>69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ht="18" customHeight="1">
      <c r="A32" s="4" t="s">
        <v>77</v>
      </c>
      <c r="B32" s="9" t="s">
        <v>71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ht="18" customHeight="1">
      <c r="A33" s="101" t="s">
        <v>72</v>
      </c>
      <c r="B33" s="9" t="s">
        <v>73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ht="18" customHeight="1">
      <c r="A34" s="101"/>
      <c r="B34" s="9" t="s">
        <v>74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ht="18" customHeight="1">
      <c r="A35" s="101"/>
      <c r="B35" s="9" t="s">
        <v>75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ht="18" customHeight="1">
      <c r="A36" s="101"/>
      <c r="B36" s="9" t="s">
        <v>31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ht="18" customHeight="1">
      <c r="A37" s="90" t="s">
        <v>45</v>
      </c>
      <c r="B37" s="90"/>
      <c r="C37" s="112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</row>
    <row r="38" spans="1:18" ht="18" customHeight="1">
      <c r="A38" s="91"/>
      <c r="B38" s="91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</row>
    <row r="39" spans="1:18" ht="18" customHeight="1">
      <c r="A39" s="91"/>
      <c r="B39" s="91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</row>
    <row r="40" spans="1:18" ht="18" customHeight="1">
      <c r="A40" s="91"/>
      <c r="B40" s="91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</row>
    <row r="41" spans="1:18" ht="18" customHeight="1">
      <c r="A41" s="91"/>
      <c r="B41" s="91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</row>
    <row r="42" spans="1:18" ht="18" customHeight="1">
      <c r="A42" s="91"/>
      <c r="B42" s="91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</row>
    <row r="43" spans="1:18" ht="18" customHeight="1">
      <c r="A43" s="92"/>
      <c r="B43" s="92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</row>
    <row r="44" spans="1:18" ht="18" customHeight="1">
      <c r="A44" s="1"/>
    </row>
    <row r="45" spans="1:18" ht="15">
      <c r="A45"/>
    </row>
    <row r="46" spans="1:18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</row>
    <row r="47" spans="1:18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</row>
    <row r="48" spans="1:1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</row>
    <row r="49" spans="1:18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</row>
    <row r="50" spans="1:18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</row>
    <row r="51" spans="1:18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</row>
    <row r="52" spans="1:18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</row>
    <row r="53" spans="1:18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</row>
    <row r="54" spans="1:18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</row>
    <row r="55" spans="1:18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</row>
    <row r="56" spans="1:18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</row>
    <row r="57" spans="1:18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</row>
    <row r="58" spans="1:1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</row>
    <row r="59" spans="1:18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</row>
    <row r="60" spans="1:18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</row>
    <row r="61" spans="1:18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</row>
    <row r="62" spans="1:18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</row>
    <row r="63" spans="1:18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</row>
    <row r="64" spans="1:18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</row>
    <row r="65" spans="1:18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</row>
    <row r="66" spans="1:18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</row>
    <row r="67" spans="1:18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</row>
    <row r="68" spans="1:1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</row>
    <row r="69" spans="1:18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</row>
    <row r="70" spans="1:18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</row>
  </sheetData>
  <mergeCells count="18">
    <mergeCell ref="A46:R70"/>
    <mergeCell ref="A27:A28"/>
    <mergeCell ref="A29:A31"/>
    <mergeCell ref="A33:A36"/>
    <mergeCell ref="A37:B43"/>
    <mergeCell ref="C37:R43"/>
    <mergeCell ref="A25:A26"/>
    <mergeCell ref="A1:R1"/>
    <mergeCell ref="C2:R3"/>
    <mergeCell ref="A4:B4"/>
    <mergeCell ref="C4:R4"/>
    <mergeCell ref="A9:A12"/>
    <mergeCell ref="A13:A14"/>
    <mergeCell ref="A15:A16"/>
    <mergeCell ref="A17:A18"/>
    <mergeCell ref="A20:A21"/>
    <mergeCell ref="A22:A24"/>
    <mergeCell ref="A5:A8"/>
  </mergeCells>
  <phoneticPr fontId="11" type="noConversion"/>
  <pageMargins left="0" right="0" top="0.3" bottom="0.3" header="0.3" footer="0.3"/>
  <pageSetup paperSize="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8083-38F5-420F-905C-E9AD5D0D869E}">
  <sheetPr codeName="Sheet14"/>
  <dimension ref="A1:L30"/>
  <sheetViews>
    <sheetView workbookViewId="0">
      <selection sqref="A1:L1"/>
    </sheetView>
  </sheetViews>
  <sheetFormatPr defaultColWidth="8.7109375" defaultRowHeight="12.75"/>
  <cols>
    <col min="1" max="1" width="14.7109375" style="2" bestFit="1" customWidth="1"/>
    <col min="2" max="2" width="26.28515625" style="1" customWidth="1"/>
    <col min="3" max="12" width="10.28515625" style="1" customWidth="1"/>
    <col min="13" max="16384" width="8.7109375" style="1"/>
  </cols>
  <sheetData>
    <row r="1" spans="1:12" ht="26.25">
      <c r="A1" s="100" t="s">
        <v>10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</row>
    <row r="2" spans="1:12" ht="26.25">
      <c r="A2" s="3"/>
      <c r="B2" s="7"/>
      <c r="C2" s="102" t="s">
        <v>11</v>
      </c>
      <c r="D2" s="102"/>
      <c r="E2" s="102"/>
      <c r="F2" s="102"/>
      <c r="G2" s="102"/>
      <c r="H2" s="102"/>
      <c r="I2" s="102"/>
      <c r="J2" s="102"/>
      <c r="K2" s="102"/>
      <c r="L2" s="102"/>
    </row>
    <row r="3" spans="1:12">
      <c r="A3" s="3" t="s">
        <v>12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1:12" ht="18.75">
      <c r="A4" s="73" t="s">
        <v>13</v>
      </c>
      <c r="B4" s="73"/>
      <c r="C4" s="74" t="s">
        <v>14</v>
      </c>
      <c r="D4" s="74"/>
      <c r="E4" s="74"/>
      <c r="F4" s="74"/>
      <c r="G4" s="74"/>
      <c r="H4" s="74"/>
      <c r="I4" s="74"/>
      <c r="J4" s="74"/>
      <c r="K4" s="74"/>
      <c r="L4" s="74"/>
    </row>
    <row r="5" spans="1:12">
      <c r="A5" s="104" t="s">
        <v>3</v>
      </c>
      <c r="B5" s="10" t="s">
        <v>15</v>
      </c>
      <c r="C5" s="11" t="s">
        <v>79</v>
      </c>
      <c r="D5" s="11" t="s">
        <v>80</v>
      </c>
      <c r="E5" s="11" t="s">
        <v>81</v>
      </c>
      <c r="F5" s="11" t="s">
        <v>82</v>
      </c>
      <c r="G5" s="11" t="s">
        <v>83</v>
      </c>
      <c r="H5" s="12" t="s">
        <v>84</v>
      </c>
      <c r="I5" s="12" t="s">
        <v>85</v>
      </c>
      <c r="J5" s="12" t="s">
        <v>86</v>
      </c>
      <c r="K5" s="12" t="s">
        <v>87</v>
      </c>
      <c r="L5" s="12" t="s">
        <v>88</v>
      </c>
    </row>
    <row r="6" spans="1:12">
      <c r="A6" s="105"/>
      <c r="B6" s="10" t="s">
        <v>26</v>
      </c>
      <c r="C6" s="24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5"/>
      <c r="B7" s="10" t="s">
        <v>27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6"/>
      <c r="B8" s="10" t="s">
        <v>28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01" t="s">
        <v>29</v>
      </c>
      <c r="B9" s="9" t="s">
        <v>30</v>
      </c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>
      <c r="A10" s="101"/>
      <c r="B10" s="9" t="s">
        <v>31</v>
      </c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>
      <c r="A11" s="101"/>
      <c r="B11" s="9" t="s">
        <v>32</v>
      </c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>
      <c r="A12" s="75" t="s">
        <v>33</v>
      </c>
      <c r="B12" s="9" t="s">
        <v>8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>
      <c r="A13" s="76"/>
      <c r="B13" s="9" t="s">
        <v>34</v>
      </c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>
      <c r="A14" s="76"/>
      <c r="B14" s="9" t="s">
        <v>35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>
      <c r="A15" s="75" t="s">
        <v>5</v>
      </c>
      <c r="B15" s="9" t="s">
        <v>36</v>
      </c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>
      <c r="A16" s="76"/>
      <c r="B16" s="9" t="s">
        <v>37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>
      <c r="A17" s="77"/>
      <c r="B17" s="9" t="s">
        <v>38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>
      <c r="A18" s="6" t="s">
        <v>39</v>
      </c>
      <c r="B18" s="9" t="s">
        <v>40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>
      <c r="A19" s="101" t="s">
        <v>41</v>
      </c>
      <c r="B19" s="9" t="s">
        <v>34</v>
      </c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>
      <c r="A20" s="101"/>
      <c r="B20" s="9" t="s">
        <v>42</v>
      </c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A21" s="8" t="s">
        <v>43</v>
      </c>
      <c r="B21" s="9" t="s">
        <v>44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>
      <c r="A22" s="90" t="s">
        <v>45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</row>
    <row r="23" spans="1:12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</row>
    <row r="24" spans="1:12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</row>
    <row r="25" spans="1:12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</row>
    <row r="26" spans="1:12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</row>
    <row r="27" spans="1:12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</row>
    <row r="28" spans="1:12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</row>
    <row r="29" spans="1:12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</row>
    <row r="30" spans="1:12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</row>
  </sheetData>
  <mergeCells count="11">
    <mergeCell ref="A9:A11"/>
    <mergeCell ref="A1:L1"/>
    <mergeCell ref="C2:L3"/>
    <mergeCell ref="A4:B4"/>
    <mergeCell ref="C4:L4"/>
    <mergeCell ref="A5:A8"/>
    <mergeCell ref="A12:A14"/>
    <mergeCell ref="A15:A17"/>
    <mergeCell ref="A19:A20"/>
    <mergeCell ref="A22:B30"/>
    <mergeCell ref="C22:L30"/>
  </mergeCells>
  <phoneticPr fontId="11" type="noConversion"/>
  <pageMargins left="0" right="0" top="0.3" bottom="0.3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B07D-6B16-443B-850F-02C8D6D962C2}">
  <sheetPr codeName="Sheet15"/>
  <dimension ref="A1:L27"/>
  <sheetViews>
    <sheetView zoomScale="85" zoomScaleNormal="85" workbookViewId="0">
      <selection activeCell="A9" sqref="A9:A11"/>
    </sheetView>
  </sheetViews>
  <sheetFormatPr defaultColWidth="8.85546875" defaultRowHeight="12.75"/>
  <cols>
    <col min="1" max="1" width="14.7109375" style="2" bestFit="1" customWidth="1"/>
    <col min="2" max="2" width="26.28515625" style="1" customWidth="1"/>
    <col min="3" max="12" width="10.28515625" style="1" customWidth="1"/>
    <col min="13" max="16384" width="8.85546875" style="1"/>
  </cols>
  <sheetData>
    <row r="1" spans="1:12" ht="31.9" customHeight="1">
      <c r="A1" s="134" t="s">
        <v>10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</row>
    <row r="2" spans="1:12" ht="13.15" customHeight="1">
      <c r="A2" s="135" t="s">
        <v>99</v>
      </c>
      <c r="B2" s="135"/>
      <c r="C2" s="102" t="s">
        <v>11</v>
      </c>
      <c r="D2" s="102"/>
      <c r="E2" s="102"/>
      <c r="F2" s="102"/>
      <c r="G2" s="102"/>
      <c r="H2" s="102"/>
      <c r="I2" s="102"/>
      <c r="J2" s="102"/>
      <c r="K2" s="102"/>
      <c r="L2" s="102"/>
    </row>
    <row r="3" spans="1:12" ht="13.15" customHeight="1">
      <c r="A3" s="136"/>
      <c r="B3" s="136"/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1:12" ht="19.899999999999999" customHeight="1">
      <c r="A4" s="73" t="s">
        <v>13</v>
      </c>
      <c r="B4" s="73"/>
      <c r="C4" s="74" t="s">
        <v>14</v>
      </c>
      <c r="D4" s="74"/>
      <c r="E4" s="74"/>
      <c r="F4" s="74"/>
      <c r="G4" s="74"/>
      <c r="H4" s="74"/>
      <c r="I4" s="74"/>
      <c r="J4" s="74"/>
      <c r="K4" s="74"/>
      <c r="L4" s="74"/>
    </row>
    <row r="5" spans="1:12" ht="18" customHeight="1">
      <c r="A5" s="104" t="s">
        <v>3</v>
      </c>
      <c r="B5" s="10" t="s">
        <v>15</v>
      </c>
      <c r="C5" s="11" t="s">
        <v>89</v>
      </c>
      <c r="D5" s="11" t="s">
        <v>90</v>
      </c>
      <c r="E5" s="11" t="s">
        <v>91</v>
      </c>
      <c r="F5" s="11" t="s">
        <v>92</v>
      </c>
      <c r="G5" s="11" t="s">
        <v>93</v>
      </c>
      <c r="H5" s="125"/>
      <c r="I5" s="126"/>
      <c r="J5" s="126"/>
      <c r="K5" s="126"/>
      <c r="L5" s="127"/>
    </row>
    <row r="6" spans="1:12" ht="18" customHeight="1">
      <c r="A6" s="105"/>
      <c r="B6" s="10" t="s">
        <v>26</v>
      </c>
      <c r="C6" s="11" t="s">
        <v>94</v>
      </c>
      <c r="D6" s="11" t="s">
        <v>95</v>
      </c>
      <c r="E6" s="11" t="s">
        <v>96</v>
      </c>
      <c r="F6" s="11" t="s">
        <v>97</v>
      </c>
      <c r="G6" s="11" t="s">
        <v>98</v>
      </c>
      <c r="H6" s="128"/>
      <c r="I6" s="129"/>
      <c r="J6" s="129"/>
      <c r="K6" s="129"/>
      <c r="L6" s="130"/>
    </row>
    <row r="7" spans="1:12" ht="18" customHeight="1">
      <c r="A7" s="105"/>
      <c r="B7" s="10" t="s">
        <v>27</v>
      </c>
      <c r="C7" s="12">
        <v>2</v>
      </c>
      <c r="D7" s="12">
        <v>2</v>
      </c>
      <c r="E7" s="12">
        <v>2</v>
      </c>
      <c r="F7" s="12">
        <v>2</v>
      </c>
      <c r="G7" s="12">
        <v>2</v>
      </c>
      <c r="H7" s="128"/>
      <c r="I7" s="129"/>
      <c r="J7" s="129"/>
      <c r="K7" s="129"/>
      <c r="L7" s="130"/>
    </row>
    <row r="8" spans="1:12" ht="18" customHeight="1">
      <c r="A8" s="106"/>
      <c r="B8" s="10" t="s">
        <v>28</v>
      </c>
      <c r="C8" s="12">
        <v>4</v>
      </c>
      <c r="D8" s="12">
        <v>4</v>
      </c>
      <c r="E8" s="12">
        <v>4</v>
      </c>
      <c r="F8" s="12">
        <v>6</v>
      </c>
      <c r="G8" s="12">
        <v>6</v>
      </c>
      <c r="H8" s="128"/>
      <c r="I8" s="129"/>
      <c r="J8" s="129"/>
      <c r="K8" s="129"/>
      <c r="L8" s="130"/>
    </row>
    <row r="9" spans="1:12" ht="18" customHeight="1">
      <c r="A9" s="101" t="s">
        <v>29</v>
      </c>
      <c r="B9" s="9" t="s">
        <v>30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  <c r="H9" s="128"/>
      <c r="I9" s="129"/>
      <c r="J9" s="129"/>
      <c r="K9" s="129"/>
      <c r="L9" s="130"/>
    </row>
    <row r="10" spans="1:12" ht="18" customHeight="1">
      <c r="A10" s="101"/>
      <c r="B10" s="9" t="s">
        <v>31</v>
      </c>
      <c r="C10" s="4" t="s">
        <v>9</v>
      </c>
      <c r="D10" s="4" t="s">
        <v>9</v>
      </c>
      <c r="E10" s="4" t="s">
        <v>9</v>
      </c>
      <c r="F10" s="4" t="s">
        <v>9</v>
      </c>
      <c r="G10" s="4" t="s">
        <v>9</v>
      </c>
      <c r="H10" s="128"/>
      <c r="I10" s="129"/>
      <c r="J10" s="129"/>
      <c r="K10" s="129"/>
      <c r="L10" s="130"/>
    </row>
    <row r="11" spans="1:12" ht="18" customHeight="1">
      <c r="A11" s="101"/>
      <c r="B11" s="9" t="s">
        <v>32</v>
      </c>
      <c r="C11" s="4" t="s">
        <v>9</v>
      </c>
      <c r="D11" s="4" t="s">
        <v>9</v>
      </c>
      <c r="E11" s="4" t="s">
        <v>9</v>
      </c>
      <c r="F11" s="4" t="s">
        <v>9</v>
      </c>
      <c r="G11" s="4" t="s">
        <v>9</v>
      </c>
      <c r="H11" s="128"/>
      <c r="I11" s="129"/>
      <c r="J11" s="129"/>
      <c r="K11" s="129"/>
      <c r="L11" s="130"/>
    </row>
    <row r="12" spans="1:12" ht="18" customHeight="1">
      <c r="A12" s="75" t="s">
        <v>33</v>
      </c>
      <c r="B12" s="9" t="s">
        <v>8</v>
      </c>
      <c r="C12" s="4" t="s">
        <v>9</v>
      </c>
      <c r="D12" s="4" t="s">
        <v>9</v>
      </c>
      <c r="E12" s="4" t="s">
        <v>9</v>
      </c>
      <c r="F12" s="4" t="s">
        <v>9</v>
      </c>
      <c r="G12" s="4" t="s">
        <v>9</v>
      </c>
      <c r="H12" s="128"/>
      <c r="I12" s="129"/>
      <c r="J12" s="129"/>
      <c r="K12" s="129"/>
      <c r="L12" s="130"/>
    </row>
    <row r="13" spans="1:12" ht="18" customHeight="1">
      <c r="A13" s="76"/>
      <c r="B13" s="9" t="s">
        <v>34</v>
      </c>
      <c r="C13" s="4" t="s">
        <v>9</v>
      </c>
      <c r="D13" s="4" t="s">
        <v>9</v>
      </c>
      <c r="E13" s="4" t="s">
        <v>9</v>
      </c>
      <c r="F13" s="4" t="s">
        <v>9</v>
      </c>
      <c r="G13" s="4" t="s">
        <v>9</v>
      </c>
      <c r="H13" s="128"/>
      <c r="I13" s="129"/>
      <c r="J13" s="129"/>
      <c r="K13" s="129"/>
      <c r="L13" s="130"/>
    </row>
    <row r="14" spans="1:12" ht="18" customHeight="1">
      <c r="A14" s="76"/>
      <c r="B14" s="9" t="s">
        <v>35</v>
      </c>
      <c r="C14" s="4" t="s">
        <v>9</v>
      </c>
      <c r="D14" s="4" t="s">
        <v>9</v>
      </c>
      <c r="E14" s="4" t="s">
        <v>9</v>
      </c>
      <c r="F14" s="4" t="s">
        <v>9</v>
      </c>
      <c r="G14" s="4" t="s">
        <v>9</v>
      </c>
      <c r="H14" s="128"/>
      <c r="I14" s="129"/>
      <c r="J14" s="129"/>
      <c r="K14" s="129"/>
      <c r="L14" s="130"/>
    </row>
    <row r="15" spans="1:12" ht="18" customHeight="1">
      <c r="A15" s="75" t="s">
        <v>5</v>
      </c>
      <c r="B15" s="9" t="s">
        <v>36</v>
      </c>
      <c r="C15" s="4" t="s">
        <v>9</v>
      </c>
      <c r="D15" s="4" t="s">
        <v>9</v>
      </c>
      <c r="E15" s="4" t="s">
        <v>9</v>
      </c>
      <c r="F15" s="4" t="s">
        <v>9</v>
      </c>
      <c r="G15" s="4" t="s">
        <v>9</v>
      </c>
      <c r="H15" s="128"/>
      <c r="I15" s="129"/>
      <c r="J15" s="129"/>
      <c r="K15" s="129"/>
      <c r="L15" s="130"/>
    </row>
    <row r="16" spans="1:12" ht="18" customHeight="1">
      <c r="A16" s="76"/>
      <c r="B16" s="9" t="s">
        <v>37</v>
      </c>
      <c r="C16" s="4" t="s">
        <v>9</v>
      </c>
      <c r="D16" s="4" t="s">
        <v>9</v>
      </c>
      <c r="E16" s="4" t="s">
        <v>9</v>
      </c>
      <c r="F16" s="4" t="s">
        <v>9</v>
      </c>
      <c r="G16" s="4" t="s">
        <v>9</v>
      </c>
      <c r="H16" s="128"/>
      <c r="I16" s="129"/>
      <c r="J16" s="129"/>
      <c r="K16" s="129"/>
      <c r="L16" s="130"/>
    </row>
    <row r="17" spans="1:12" ht="18" customHeight="1">
      <c r="A17" s="77"/>
      <c r="B17" s="9" t="s">
        <v>38</v>
      </c>
      <c r="C17" s="4" t="s">
        <v>9</v>
      </c>
      <c r="D17" s="4" t="s">
        <v>9</v>
      </c>
      <c r="E17" s="4" t="s">
        <v>9</v>
      </c>
      <c r="F17" s="4" t="s">
        <v>9</v>
      </c>
      <c r="G17" s="4" t="s">
        <v>9</v>
      </c>
      <c r="H17" s="128"/>
      <c r="I17" s="129"/>
      <c r="J17" s="129"/>
      <c r="K17" s="129"/>
      <c r="L17" s="130"/>
    </row>
    <row r="18" spans="1:12" ht="18" customHeight="1">
      <c r="A18" s="6" t="s">
        <v>39</v>
      </c>
      <c r="B18" s="9" t="s">
        <v>40</v>
      </c>
      <c r="C18" s="4" t="s">
        <v>9</v>
      </c>
      <c r="D18" s="4" t="s">
        <v>9</v>
      </c>
      <c r="E18" s="4" t="s">
        <v>9</v>
      </c>
      <c r="F18" s="4" t="s">
        <v>9</v>
      </c>
      <c r="G18" s="4" t="s">
        <v>9</v>
      </c>
      <c r="H18" s="128"/>
      <c r="I18" s="129"/>
      <c r="J18" s="129"/>
      <c r="K18" s="129"/>
      <c r="L18" s="130"/>
    </row>
    <row r="19" spans="1:12" ht="18" customHeight="1">
      <c r="A19" s="101" t="s">
        <v>41</v>
      </c>
      <c r="B19" s="9" t="s">
        <v>34</v>
      </c>
      <c r="C19" s="4" t="s">
        <v>9</v>
      </c>
      <c r="D19" s="4" t="s">
        <v>9</v>
      </c>
      <c r="E19" s="4" t="s">
        <v>9</v>
      </c>
      <c r="F19" s="4" t="s">
        <v>9</v>
      </c>
      <c r="G19" s="4" t="s">
        <v>9</v>
      </c>
      <c r="H19" s="128"/>
      <c r="I19" s="129"/>
      <c r="J19" s="129"/>
      <c r="K19" s="129"/>
      <c r="L19" s="130"/>
    </row>
    <row r="20" spans="1:12" ht="18" customHeight="1">
      <c r="A20" s="101"/>
      <c r="B20" s="9" t="s">
        <v>42</v>
      </c>
      <c r="C20" s="4" t="s">
        <v>9</v>
      </c>
      <c r="D20" s="4" t="s">
        <v>9</v>
      </c>
      <c r="E20" s="4" t="s">
        <v>9</v>
      </c>
      <c r="F20" s="4" t="s">
        <v>9</v>
      </c>
      <c r="G20" s="4" t="s">
        <v>9</v>
      </c>
      <c r="H20" s="128"/>
      <c r="I20" s="129"/>
      <c r="J20" s="129"/>
      <c r="K20" s="129"/>
      <c r="L20" s="130"/>
    </row>
    <row r="21" spans="1:12" ht="18" customHeight="1">
      <c r="A21" s="8" t="s">
        <v>43</v>
      </c>
      <c r="B21" s="9" t="s">
        <v>44</v>
      </c>
      <c r="C21" s="4" t="s">
        <v>9</v>
      </c>
      <c r="D21" s="4" t="s">
        <v>9</v>
      </c>
      <c r="E21" s="4" t="s">
        <v>9</v>
      </c>
      <c r="F21" s="4" t="s">
        <v>9</v>
      </c>
      <c r="G21" s="4" t="s">
        <v>9</v>
      </c>
      <c r="H21" s="131"/>
      <c r="I21" s="132"/>
      <c r="J21" s="132"/>
      <c r="K21" s="132"/>
      <c r="L21" s="133"/>
    </row>
    <row r="22" spans="1:12" ht="18" customHeight="1">
      <c r="A22" s="90" t="s">
        <v>45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</row>
    <row r="23" spans="1:12" ht="18" customHeight="1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</row>
    <row r="24" spans="1:12" ht="18" customHeight="1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</row>
    <row r="25" spans="1:12" ht="18" customHeight="1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</row>
    <row r="26" spans="1:12" ht="18" customHeight="1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</row>
    <row r="27" spans="1:12" ht="18" customHeight="1"/>
  </sheetData>
  <mergeCells count="13">
    <mergeCell ref="A1:L1"/>
    <mergeCell ref="C2:L3"/>
    <mergeCell ref="A4:B4"/>
    <mergeCell ref="C4:L4"/>
    <mergeCell ref="A5:A8"/>
    <mergeCell ref="A2:B3"/>
    <mergeCell ref="A12:A14"/>
    <mergeCell ref="A15:A17"/>
    <mergeCell ref="A19:A20"/>
    <mergeCell ref="A22:B26"/>
    <mergeCell ref="C22:L26"/>
    <mergeCell ref="H5:L21"/>
    <mergeCell ref="A9:A11"/>
  </mergeCells>
  <phoneticPr fontId="11" type="noConversion"/>
  <pageMargins left="0" right="0" top="0.3" bottom="0.3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64C5-325F-4206-B2C9-58912C688CC0}">
  <sheetPr codeName="Sheet16"/>
  <dimension ref="A1"/>
  <sheetViews>
    <sheetView workbookViewId="0">
      <selection activeCell="K17" sqref="K17"/>
    </sheetView>
  </sheetViews>
  <sheetFormatPr defaultRowHeight="15"/>
  <sheetData/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5557A3B959FB4282A833860FE737A6" ma:contentTypeVersion="6" ma:contentTypeDescription="Create a new document." ma:contentTypeScope="" ma:versionID="9436d6d90fe99a4bc6fde36b489b4bb5">
  <xsd:schema xmlns:xsd="http://www.w3.org/2001/XMLSchema" xmlns:xs="http://www.w3.org/2001/XMLSchema" xmlns:p="http://schemas.microsoft.com/office/2006/metadata/properties" xmlns:ns2="33c4a2b0-bbf4-4b46-bec0-121023beb45e" xmlns:ns3="cf813075-1042-4f1c-bae6-e7475c5d3aba" targetNamespace="http://schemas.microsoft.com/office/2006/metadata/properties" ma:root="true" ma:fieldsID="965dfe8dc4b4281ad285cba30127ca0c" ns2:_="" ns3:_="">
    <xsd:import namespace="33c4a2b0-bbf4-4b46-bec0-121023beb45e"/>
    <xsd:import namespace="cf813075-1042-4f1c-bae6-e7475c5d3a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c4a2b0-bbf4-4b46-bec0-121023beb4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13075-1042-4f1c-bae6-e7475c5d3ab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26B8FA-3A01-452E-B424-7FCB55B2C2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D0813B-F785-4CEE-A746-C37F6A5478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c4a2b0-bbf4-4b46-bec0-121023beb45e"/>
    <ds:schemaRef ds:uri="cf813075-1042-4f1c-bae6-e7475c5d3a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FFFB47-7D71-4DEA-87C3-DCB532513DDE}">
  <ds:schemaRefs>
    <ds:schemaRef ds:uri="http://purl.org/dc/terms/"/>
    <ds:schemaRef ds:uri="cf813075-1042-4f1c-bae6-e7475c5d3aba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33c4a2b0-bbf4-4b46-bec0-121023beb45e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299a644-a20f-492e-8471-57a29cac90c5}" enabled="0" method="" siteId="{e299a644-a20f-492e-8471-57a29cac90c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PM Plan</vt:lpstr>
      <vt:lpstr>Check list_Conveyor_Vanderlande</vt:lpstr>
      <vt:lpstr>Check list_Conveyor_KNAPP_TK01</vt:lpstr>
      <vt:lpstr>Check list_Conveyor_KNAPP_T (2)</vt:lpstr>
      <vt:lpstr>KNAPP Conveyor check list(TK01)</vt:lpstr>
      <vt:lpstr>Sheet2</vt:lpstr>
      <vt:lpstr>Check list_Rack System</vt:lpstr>
      <vt:lpstr>Check list_Shuttle</vt:lpstr>
      <vt:lpstr>Check list_Shuttle_#17~32</vt:lpstr>
      <vt:lpstr>Check list_Shuttle_#33~48</vt:lpstr>
      <vt:lpstr>Check list_Shuttle_#49~64</vt:lpstr>
      <vt:lpstr>Check list_Shuttle_#65~80</vt:lpstr>
      <vt:lpstr>Check list_Shuttle_#81~96</vt:lpstr>
      <vt:lpstr>Check list_Rack System 9~8F</vt:lpstr>
      <vt:lpstr>Check list_Rack System 7F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Kyeongmo Ku</dc:creator>
  <cp:keywords/>
  <dc:description/>
  <cp:lastModifiedBy>Kwon, Ohjun</cp:lastModifiedBy>
  <cp:revision/>
  <dcterms:created xsi:type="dcterms:W3CDTF">2024-05-27T04:47:46Z</dcterms:created>
  <dcterms:modified xsi:type="dcterms:W3CDTF">2025-10-24T07:59:17Z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0x010100175557A3B959FB4282A833860FE737A6</vt:lpwstr>
  </property>
</Properties>
</file>